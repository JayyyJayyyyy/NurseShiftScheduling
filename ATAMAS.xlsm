
<file path=[Content_Types].xml><?xml version="1.0" encoding="utf-8"?>
<Types xmlns="http://schemas.openxmlformats.org/package/2006/content-types">
  <Override PartName="/xl/activeX/activeX9.xml" ContentType="application/vnd.ms-office.activeX+xml"/>
  <Override PartName="/xl/activeX/activeX59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48.xml" ContentType="application/vnd.ms-office.activeX+xml"/>
  <Override PartName="/xl/activeX/activeX66.xml" ContentType="application/vnd.ms-office.activeX+xml"/>
  <Override PartName="/xl/activeX/activeX77.xml" ContentType="application/vnd.ms-office.activeX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activeX/activeX37.xml" ContentType="application/vnd.ms-office.activeX+xml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activeX/activeX80.xml" ContentType="application/vnd.ms-office.activeX+xml"/>
  <Override PartName="/xl/worksheets/sheet1.xml" ContentType="application/vnd.openxmlformats-officedocument.spreadsheetml.worksheet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69.xml" ContentType="application/vnd.ms-office.activeX+xml"/>
  <Override PartName="/xl/activeX/activeX78.xml" ContentType="application/vnd.ms-office.activeX+xml"/>
  <Override PartName="/xl/worksheets/sheet14.xml" ContentType="application/vnd.openxmlformats-officedocument.spreadsheetml.worksheet+xml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activeX/activeX58.xml" ContentType="application/vnd.ms-office.activeX+xml"/>
  <Override PartName="/xl/activeX/activeX67.xml" ContentType="application/vnd.ms-office.activeX+xml"/>
  <Override PartName="/xl/activeX/activeX76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activeX/activeX6.xml" ContentType="application/vnd.ms-office.activeX+xml"/>
  <Default Extension="emf" ContentType="image/x-emf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Override PartName="/xl/activeX/activeX56.xml" ContentType="application/vnd.ms-office.activeX+xml"/>
  <Override PartName="/xl/activeX/activeX65.xml" ContentType="application/vnd.ms-office.activeX+xml"/>
  <Override PartName="/xl/activeX/activeX74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63.xml" ContentType="application/vnd.ms-office.activeX+xml"/>
  <Override PartName="/xl/activeX/activeX72.xml" ContentType="application/vnd.ms-office.activeX+xml"/>
  <Override PartName="/xl/activeX/activeX81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Override PartName="/xl/activeX/activeX61.xml" ContentType="application/vnd.ms-office.activeX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activeX/activeX10.xml" ContentType="application/vnd.ms-office.activeX+xml"/>
  <Override PartName="/xl/worksheets/sheet17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68.xml" ContentType="application/vnd.ms-office.activeX+xml"/>
  <Override PartName="/xl/activeX/activeX7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39.xml" ContentType="application/vnd.ms-office.activeX+xml"/>
  <Override PartName="/xl/activeX/activeX57.xml" ContentType="application/vnd.ms-office.activeX+xml"/>
  <Override PartName="/xl/worksheets/sheet11.xml" ContentType="application/vnd.openxmlformats-officedocument.spreadsheetml.worksheet+xml"/>
  <Default Extension="wmf" ContentType="image/x-wmf"/>
  <Override PartName="/xl/activeX/activeX17.xml" ContentType="application/vnd.ms-office.activeX+xml"/>
  <Override PartName="/xl/activeX/activeX28.xml" ContentType="application/vnd.ms-office.activeX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82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HorizontalScroll="0" xWindow="0" yWindow="90" windowWidth="15480" windowHeight="8130" autoFilterDateGrouping="0"/>
  </bookViews>
  <sheets>
    <sheet name="s8" sheetId="9" r:id="rId1"/>
    <sheet name="s6" sheetId="7" r:id="rId2"/>
    <sheet name="s2" sheetId="3" r:id="rId3"/>
    <sheet name="S9" sheetId="10" r:id="rId4"/>
    <sheet name="s1" sheetId="2" r:id="rId5"/>
    <sheet name="s3" sheetId="5" r:id="rId6"/>
    <sheet name="s11" sheetId="12" r:id="rId7"/>
    <sheet name="s10" sheetId="11" r:id="rId8"/>
    <sheet name="Sayfa1" sheetId="13" r:id="rId9"/>
    <sheet name="ocak" sheetId="6" r:id="rId10"/>
    <sheet name="subat" sheetId="15" r:id="rId11"/>
    <sheet name="mart" sheetId="16" r:id="rId12"/>
    <sheet name="nısan" sheetId="17" r:id="rId13"/>
    <sheet name="mayıs" sheetId="18" r:id="rId14"/>
    <sheet name="hazıran" sheetId="19" r:id="rId15"/>
    <sheet name="temmuz" sheetId="20" r:id="rId16"/>
    <sheet name="agustos" sheetId="21" r:id="rId17"/>
    <sheet name="eylul" sheetId="22" r:id="rId18"/>
    <sheet name="ekım" sheetId="23" r:id="rId19"/>
    <sheet name="kasım" sheetId="24" r:id="rId20"/>
    <sheet name="aralık" sheetId="25" r:id="rId21"/>
  </sheets>
  <definedNames>
    <definedName name="_xlnm._FilterDatabase" localSheetId="9" hidden="1">ocak!$A$3:$D$13</definedName>
    <definedName name="_xlnm._FilterDatabase" localSheetId="2" hidden="1">'s2'!$A$1:$C$8</definedName>
    <definedName name="_xlnm._FilterDatabase" localSheetId="8" hidden="1">Sayfa1!$C$2:$P$2</definedName>
    <definedName name="CALIS">Sayfa1!$C$3:$P$14</definedName>
    <definedName name="CALISMAGUNLERI">'s3'!$A$3:$A$9</definedName>
    <definedName name="GECE">'s11'!$F$2:$G$9</definedName>
    <definedName name="GNDZ">'s11'!$B$2:$C$9</definedName>
    <definedName name="HEMSIRE">'s2'!$A$2:$A$13</definedName>
    <definedName name="IZIN">'s10'!$C$2:$C$9</definedName>
    <definedName name="IZINLI">'s10'!$A$2:$A$9</definedName>
    <definedName name="VARDIYA">Sayfa1!$Q$1:$R$1</definedName>
  </definedNames>
  <calcPr calcId="124519"/>
</workbook>
</file>

<file path=xl/calcChain.xml><?xml version="1.0" encoding="utf-8"?>
<calcChain xmlns="http://schemas.openxmlformats.org/spreadsheetml/2006/main">
  <c r="D3" i="5"/>
  <c r="E3"/>
  <c r="F3"/>
  <c r="G3"/>
  <c r="H3"/>
  <c r="I3"/>
  <c r="J3"/>
  <c r="K3"/>
  <c r="L3"/>
  <c r="M3"/>
  <c r="N3"/>
  <c r="O3"/>
  <c r="P3"/>
  <c r="D4"/>
  <c r="E4"/>
  <c r="F4"/>
  <c r="G4"/>
  <c r="H4"/>
  <c r="I4"/>
  <c r="J4"/>
  <c r="K4"/>
  <c r="L4"/>
  <c r="M4"/>
  <c r="N4"/>
  <c r="O4"/>
  <c r="P4"/>
  <c r="D5"/>
  <c r="E5"/>
  <c r="F5"/>
  <c r="G5"/>
  <c r="H5"/>
  <c r="I5"/>
  <c r="J5"/>
  <c r="K5"/>
  <c r="L5"/>
  <c r="M5"/>
  <c r="N5"/>
  <c r="O5"/>
  <c r="P5"/>
  <c r="D6"/>
  <c r="E6"/>
  <c r="F6"/>
  <c r="G6"/>
  <c r="H6"/>
  <c r="I6"/>
  <c r="J6"/>
  <c r="K6"/>
  <c r="L6"/>
  <c r="M6"/>
  <c r="N6"/>
  <c r="O6"/>
  <c r="P6"/>
  <c r="D7"/>
  <c r="E7"/>
  <c r="F7"/>
  <c r="G7"/>
  <c r="H7"/>
  <c r="I7"/>
  <c r="J7"/>
  <c r="K7"/>
  <c r="L7"/>
  <c r="M7"/>
  <c r="N7"/>
  <c r="O7"/>
  <c r="P7"/>
  <c r="D8"/>
  <c r="E8"/>
  <c r="F8"/>
  <c r="G8"/>
  <c r="H8"/>
  <c r="I8"/>
  <c r="J8"/>
  <c r="K8"/>
  <c r="L8"/>
  <c r="M8"/>
  <c r="N8"/>
  <c r="O8"/>
  <c r="P8"/>
  <c r="D9"/>
  <c r="E9"/>
  <c r="F9"/>
  <c r="G9"/>
  <c r="H9"/>
  <c r="I9"/>
  <c r="J9"/>
  <c r="K9"/>
  <c r="L9"/>
  <c r="M9"/>
  <c r="N9"/>
  <c r="O9"/>
  <c r="P9"/>
  <c r="D10"/>
  <c r="E10"/>
  <c r="F10"/>
  <c r="G10"/>
  <c r="H10"/>
  <c r="I10"/>
  <c r="J10"/>
  <c r="K10"/>
  <c r="L10"/>
  <c r="M10"/>
  <c r="N10"/>
  <c r="O10"/>
  <c r="P10"/>
  <c r="D11"/>
  <c r="E11"/>
  <c r="F11"/>
  <c r="G11"/>
  <c r="H11"/>
  <c r="I11"/>
  <c r="J11"/>
  <c r="K11"/>
  <c r="L11"/>
  <c r="M11"/>
  <c r="N11"/>
  <c r="O11"/>
  <c r="P11"/>
  <c r="D12"/>
  <c r="E12"/>
  <c r="F12"/>
  <c r="G12"/>
  <c r="H12"/>
  <c r="I12"/>
  <c r="J12"/>
  <c r="K12"/>
  <c r="L12"/>
  <c r="M12"/>
  <c r="N12"/>
  <c r="O12"/>
  <c r="P12"/>
  <c r="D13"/>
  <c r="E13"/>
  <c r="F13"/>
  <c r="G13"/>
  <c r="H13"/>
  <c r="I13"/>
  <c r="J13"/>
  <c r="K13"/>
  <c r="L13"/>
  <c r="M13"/>
  <c r="N13"/>
  <c r="O13"/>
  <c r="P13"/>
  <c r="D14"/>
  <c r="E14"/>
  <c r="F14"/>
  <c r="G14"/>
  <c r="H14"/>
  <c r="I14"/>
  <c r="J14"/>
  <c r="K14"/>
  <c r="L14"/>
  <c r="M14"/>
  <c r="N14"/>
  <c r="O14"/>
  <c r="P14"/>
  <c r="C4"/>
  <c r="C5"/>
  <c r="C6"/>
  <c r="C7"/>
  <c r="C8"/>
  <c r="C9"/>
  <c r="C10"/>
  <c r="C11"/>
  <c r="C12"/>
  <c r="C13"/>
  <c r="C14"/>
  <c r="C3"/>
  <c r="I13" i="25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24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23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22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21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20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19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18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17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16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I13" i="15"/>
  <c r="H13"/>
  <c r="I12"/>
  <c r="H12"/>
  <c r="I11"/>
  <c r="H11"/>
  <c r="I10"/>
  <c r="H10"/>
  <c r="I9"/>
  <c r="H9"/>
  <c r="I8"/>
  <c r="H8"/>
  <c r="I7"/>
  <c r="H7"/>
  <c r="I6"/>
  <c r="H6"/>
  <c r="I5"/>
  <c r="H5"/>
  <c r="I4"/>
  <c r="H4"/>
  <c r="I3"/>
  <c r="H3"/>
  <c r="H4" i="6"/>
  <c r="I4"/>
  <c r="H5"/>
  <c r="I5"/>
  <c r="H6"/>
  <c r="I6"/>
  <c r="H7"/>
  <c r="I7"/>
  <c r="H8"/>
  <c r="I8"/>
  <c r="H9"/>
  <c r="I9"/>
  <c r="H10"/>
  <c r="I10"/>
  <c r="H11"/>
  <c r="I11"/>
  <c r="H12"/>
  <c r="I12"/>
  <c r="H13"/>
  <c r="I13"/>
  <c r="I3"/>
  <c r="H3"/>
  <c r="C13" i="25"/>
  <c r="C12"/>
  <c r="C11"/>
  <c r="C10"/>
  <c r="C9"/>
  <c r="C8"/>
  <c r="C7"/>
  <c r="C6"/>
  <c r="C5"/>
  <c r="C4"/>
  <c r="C13" i="24"/>
  <c r="C12"/>
  <c r="C11"/>
  <c r="C10"/>
  <c r="C9"/>
  <c r="C8"/>
  <c r="C7"/>
  <c r="C6"/>
  <c r="C5"/>
  <c r="C4"/>
  <c r="C13" i="23"/>
  <c r="C12"/>
  <c r="C11"/>
  <c r="C10"/>
  <c r="C9"/>
  <c r="C8"/>
  <c r="C7"/>
  <c r="C6"/>
  <c r="C5"/>
  <c r="C4"/>
  <c r="C13" i="22"/>
  <c r="C12"/>
  <c r="C11"/>
  <c r="C10"/>
  <c r="C9"/>
  <c r="C8"/>
  <c r="C7"/>
  <c r="C6"/>
  <c r="C5"/>
  <c r="C4"/>
  <c r="C13" i="21"/>
  <c r="C12"/>
  <c r="C11"/>
  <c r="C10"/>
  <c r="C9"/>
  <c r="C8"/>
  <c r="C7"/>
  <c r="C6"/>
  <c r="C5"/>
  <c r="C4"/>
  <c r="C13" i="20"/>
  <c r="C12"/>
  <c r="C11"/>
  <c r="C10"/>
  <c r="C9"/>
  <c r="C8"/>
  <c r="C7"/>
  <c r="C6"/>
  <c r="C5"/>
  <c r="C4"/>
  <c r="C13" i="19"/>
  <c r="C12"/>
  <c r="C11"/>
  <c r="C10"/>
  <c r="C9"/>
  <c r="C8"/>
  <c r="C7"/>
  <c r="C6"/>
  <c r="C5"/>
  <c r="C13" i="18"/>
  <c r="C12"/>
  <c r="C11"/>
  <c r="C10"/>
  <c r="C9"/>
  <c r="C8"/>
  <c r="C7"/>
  <c r="C6"/>
  <c r="C5"/>
  <c r="C4"/>
  <c r="C13" i="17"/>
  <c r="C12"/>
  <c r="C11"/>
  <c r="C10"/>
  <c r="C9"/>
  <c r="C8"/>
  <c r="C7"/>
  <c r="C6"/>
  <c r="C5"/>
  <c r="C4"/>
  <c r="C13" i="16"/>
  <c r="C12"/>
  <c r="C11"/>
  <c r="C10"/>
  <c r="C9"/>
  <c r="C8"/>
  <c r="C7"/>
  <c r="C6"/>
  <c r="C5"/>
  <c r="C4"/>
  <c r="C13" i="15"/>
  <c r="C12"/>
  <c r="C11"/>
  <c r="C10"/>
  <c r="C9"/>
  <c r="C8"/>
  <c r="C7"/>
  <c r="C6"/>
  <c r="C5"/>
  <c r="C4"/>
  <c r="Q4" i="13"/>
  <c r="R4"/>
  <c r="Q5"/>
  <c r="R5"/>
  <c r="Q6"/>
  <c r="R6"/>
  <c r="Q7"/>
  <c r="R7"/>
  <c r="Q8"/>
  <c r="R8"/>
  <c r="Q9"/>
  <c r="R9"/>
  <c r="Q10"/>
  <c r="R10"/>
  <c r="Q11"/>
  <c r="R11"/>
  <c r="Q12"/>
  <c r="R12"/>
  <c r="Q13"/>
  <c r="R13"/>
  <c r="Q14"/>
  <c r="R14"/>
  <c r="R3"/>
  <c r="Q3"/>
  <c r="D15"/>
  <c r="E15"/>
  <c r="F15"/>
  <c r="G15"/>
  <c r="H15"/>
  <c r="I15"/>
  <c r="J15"/>
  <c r="K15"/>
  <c r="L15"/>
  <c r="M15"/>
  <c r="N15"/>
  <c r="O15"/>
  <c r="P15"/>
  <c r="C15"/>
  <c r="B14" i="5"/>
  <c r="A14"/>
  <c r="B13"/>
  <c r="A13"/>
  <c r="B12"/>
  <c r="A12"/>
  <c r="B11"/>
  <c r="A11"/>
  <c r="B10"/>
  <c r="A10"/>
  <c r="B9"/>
  <c r="A9"/>
  <c r="B8"/>
  <c r="A8"/>
  <c r="B7"/>
  <c r="A7"/>
  <c r="B6"/>
  <c r="A6"/>
  <c r="B5"/>
  <c r="A5"/>
  <c r="B4"/>
  <c r="A4"/>
  <c r="B3"/>
  <c r="A3"/>
  <c r="B14" i="13"/>
  <c r="A14"/>
  <c r="A11"/>
  <c r="B11"/>
  <c r="A12"/>
  <c r="B12"/>
  <c r="A13"/>
  <c r="B13"/>
  <c r="A4"/>
  <c r="B4"/>
  <c r="A5"/>
  <c r="B5"/>
  <c r="A6"/>
  <c r="B6"/>
  <c r="A7"/>
  <c r="B7"/>
  <c r="A8"/>
  <c r="B8"/>
  <c r="A9"/>
  <c r="B9"/>
  <c r="A10"/>
  <c r="B10"/>
  <c r="B3"/>
  <c r="A3"/>
  <c r="B9" i="11"/>
  <c r="D9" s="1"/>
  <c r="A9"/>
  <c r="B8"/>
  <c r="D8" s="1"/>
  <c r="A8"/>
  <c r="B7"/>
  <c r="D7" s="1"/>
  <c r="A7"/>
  <c r="B6"/>
  <c r="D6" s="1"/>
  <c r="A6"/>
  <c r="B5"/>
  <c r="D5" s="1"/>
  <c r="A5"/>
  <c r="B4"/>
  <c r="D4" s="1"/>
  <c r="A4"/>
  <c r="B3"/>
  <c r="D3" s="1"/>
  <c r="A3"/>
  <c r="B2"/>
  <c r="D2" s="1"/>
  <c r="A2"/>
  <c r="F2" l="1"/>
  <c r="H2" s="1"/>
  <c r="J2" s="1"/>
  <c r="L2" s="1"/>
  <c r="N2" s="1"/>
  <c r="F3"/>
  <c r="H3" s="1"/>
  <c r="J3" s="1"/>
  <c r="L3" s="1"/>
  <c r="N3" s="1"/>
  <c r="F4"/>
  <c r="H4" s="1"/>
  <c r="J4" s="1"/>
  <c r="L4" s="1"/>
  <c r="N4" s="1"/>
  <c r="F5"/>
  <c r="H5" s="1"/>
  <c r="J5" s="1"/>
  <c r="L5" s="1"/>
  <c r="N5" s="1"/>
  <c r="F6"/>
  <c r="H6" s="1"/>
  <c r="J6" s="1"/>
  <c r="L6" s="1"/>
  <c r="N6" s="1"/>
  <c r="F7"/>
  <c r="H7" s="1"/>
  <c r="J7" s="1"/>
  <c r="L7" s="1"/>
  <c r="N7" s="1"/>
  <c r="F8"/>
  <c r="H8" s="1"/>
  <c r="J8" s="1"/>
  <c r="L8" s="1"/>
  <c r="N8" s="1"/>
  <c r="F9"/>
  <c r="H9" s="1"/>
  <c r="J9" s="1"/>
  <c r="L9" s="1"/>
  <c r="N9" s="1"/>
  <c r="C13" i="6"/>
  <c r="C12"/>
  <c r="C11"/>
  <c r="C10"/>
  <c r="C9"/>
  <c r="C8"/>
  <c r="C7"/>
  <c r="C6"/>
  <c r="C5"/>
  <c r="C4"/>
  <c r="C5" i="11" s="1"/>
  <c r="K4" i="3"/>
  <c r="K3"/>
  <c r="K2"/>
  <c r="E5" i="11" l="1"/>
  <c r="G5" s="1"/>
  <c r="I5" s="1"/>
  <c r="K5" s="1"/>
  <c r="M5" s="1"/>
  <c r="J13" i="25"/>
  <c r="J11"/>
  <c r="J9"/>
  <c r="J7"/>
  <c r="J5"/>
  <c r="J3"/>
  <c r="J12" i="24"/>
  <c r="J10"/>
  <c r="J8"/>
  <c r="J6"/>
  <c r="J4"/>
  <c r="J13" i="23"/>
  <c r="J11"/>
  <c r="J9"/>
  <c r="J7"/>
  <c r="J5"/>
  <c r="J3"/>
  <c r="J12" i="22"/>
  <c r="J10"/>
  <c r="J8"/>
  <c r="J6"/>
  <c r="J4"/>
  <c r="J13" i="21"/>
  <c r="J10"/>
  <c r="J7"/>
  <c r="J3"/>
  <c r="J10" i="20"/>
  <c r="J6"/>
  <c r="J13" i="19"/>
  <c r="J9"/>
  <c r="J5"/>
  <c r="J12" i="18"/>
  <c r="J8"/>
  <c r="J4"/>
  <c r="J11" i="17"/>
  <c r="J7"/>
  <c r="J3"/>
  <c r="J10" i="16"/>
  <c r="J6"/>
  <c r="J13" i="15"/>
  <c r="J9"/>
  <c r="J5"/>
  <c r="C9" i="11"/>
  <c r="E9" s="1"/>
  <c r="G9" s="1"/>
  <c r="I9" s="1"/>
  <c r="K9" s="1"/>
  <c r="M9" s="1"/>
  <c r="C4"/>
  <c r="J5" i="6"/>
  <c r="J7"/>
  <c r="J9"/>
  <c r="J11"/>
  <c r="J13"/>
  <c r="J8" i="21"/>
  <c r="J4"/>
  <c r="J11" i="20"/>
  <c r="J7"/>
  <c r="J3"/>
  <c r="J10" i="19"/>
  <c r="J6"/>
  <c r="J13" i="18"/>
  <c r="J9"/>
  <c r="J5"/>
  <c r="J12" i="17"/>
  <c r="J8"/>
  <c r="J4"/>
  <c r="J11" i="16"/>
  <c r="J7"/>
  <c r="J3"/>
  <c r="J10" i="15"/>
  <c r="J6"/>
  <c r="J3" i="6"/>
  <c r="C7" i="11"/>
  <c r="C3"/>
  <c r="J12" i="25"/>
  <c r="J10"/>
  <c r="J8"/>
  <c r="J6"/>
  <c r="J4"/>
  <c r="J13" i="24"/>
  <c r="J11"/>
  <c r="J9"/>
  <c r="J7"/>
  <c r="J5"/>
  <c r="J3"/>
  <c r="J12" i="23"/>
  <c r="J10"/>
  <c r="J8"/>
  <c r="J6"/>
  <c r="J4"/>
  <c r="J13" i="22"/>
  <c r="J11"/>
  <c r="J9"/>
  <c r="J7"/>
  <c r="J5"/>
  <c r="J3"/>
  <c r="J12" i="21"/>
  <c r="J9"/>
  <c r="J5"/>
  <c r="J12" i="20"/>
  <c r="J8"/>
  <c r="J4"/>
  <c r="J11" i="19"/>
  <c r="J7"/>
  <c r="J3"/>
  <c r="J10" i="18"/>
  <c r="J6"/>
  <c r="J13" i="17"/>
  <c r="J9"/>
  <c r="J5"/>
  <c r="J12" i="16"/>
  <c r="J8"/>
  <c r="J4"/>
  <c r="J11" i="15"/>
  <c r="J7"/>
  <c r="J3"/>
  <c r="C6" i="11"/>
  <c r="J4" i="6"/>
  <c r="J6"/>
  <c r="J8"/>
  <c r="J10"/>
  <c r="J12"/>
  <c r="J11" i="21"/>
  <c r="J6"/>
  <c r="J13" i="20"/>
  <c r="J9"/>
  <c r="J5"/>
  <c r="J12" i="19"/>
  <c r="J8"/>
  <c r="J4"/>
  <c r="J11" i="18"/>
  <c r="J7"/>
  <c r="J3"/>
  <c r="J10" i="17"/>
  <c r="J6"/>
  <c r="J13" i="16"/>
  <c r="J9"/>
  <c r="J5"/>
  <c r="J12" i="15"/>
  <c r="J8"/>
  <c r="J4"/>
  <c r="C8" i="11"/>
  <c r="C2"/>
  <c r="E8" l="1"/>
  <c r="G8" s="1"/>
  <c r="I8" s="1"/>
  <c r="K8" s="1"/>
  <c r="M8" s="1"/>
  <c r="E3"/>
  <c r="G3" s="1"/>
  <c r="I3" s="1"/>
  <c r="K3" s="1"/>
  <c r="M3" s="1"/>
  <c r="E4"/>
  <c r="G4" s="1"/>
  <c r="I4" s="1"/>
  <c r="K4" s="1"/>
  <c r="M4" s="1"/>
  <c r="P9"/>
  <c r="Q9" s="1"/>
  <c r="E6"/>
  <c r="G6" s="1"/>
  <c r="I6" s="1"/>
  <c r="K6" s="1"/>
  <c r="M6" s="1"/>
  <c r="E7"/>
  <c r="G7" s="1"/>
  <c r="I7" s="1"/>
  <c r="K7" s="1"/>
  <c r="M7" s="1"/>
  <c r="P5"/>
  <c r="Q5" s="1"/>
  <c r="E2"/>
  <c r="G2" s="1"/>
  <c r="I2" s="1"/>
  <c r="K2" s="1"/>
  <c r="M2" s="1"/>
  <c r="P7" l="1"/>
  <c r="Q7" s="1"/>
  <c r="P6"/>
  <c r="Q6" s="1"/>
  <c r="P4"/>
  <c r="Q4" s="1"/>
  <c r="P3"/>
  <c r="Q3" s="1"/>
  <c r="P8"/>
  <c r="Q8" s="1"/>
  <c r="P2"/>
  <c r="Q2" s="1"/>
</calcChain>
</file>

<file path=xl/sharedStrings.xml><?xml version="1.0" encoding="utf-8"?>
<sst xmlns="http://schemas.openxmlformats.org/spreadsheetml/2006/main" count="178" uniqueCount="78">
  <si>
    <t>Kıdemli/Kıdemsiz</t>
  </si>
  <si>
    <t>Kıdemli</t>
  </si>
  <si>
    <t>Kıdemsiz</t>
  </si>
  <si>
    <t>Kaç hemşire çalışacak</t>
  </si>
  <si>
    <t>Kaç kıdemli</t>
  </si>
  <si>
    <t>Kaç kıdemsiz</t>
  </si>
  <si>
    <t>Adı</t>
  </si>
  <si>
    <t>Soyadı</t>
  </si>
  <si>
    <t>Kayıtlı</t>
  </si>
  <si>
    <t xml:space="preserve"> </t>
  </si>
  <si>
    <t xml:space="preserve">Soyadı </t>
  </si>
  <si>
    <t>İzin başlangıç tarihi</t>
  </si>
  <si>
    <t>İzin bitiş tarihi</t>
  </si>
  <si>
    <t>İzinli gün sayısı</t>
  </si>
  <si>
    <t>A</t>
  </si>
  <si>
    <t>Ayhan</t>
  </si>
  <si>
    <t>OKLU</t>
  </si>
  <si>
    <t>Meryem</t>
  </si>
  <si>
    <t>Dilek</t>
  </si>
  <si>
    <t>Hacer</t>
  </si>
  <si>
    <t>Merve</t>
  </si>
  <si>
    <t>Gülizar</t>
  </si>
  <si>
    <t>İlknur</t>
  </si>
  <si>
    <t>PEKSOY</t>
  </si>
  <si>
    <t>USLU</t>
  </si>
  <si>
    <t>HAKLI</t>
  </si>
  <si>
    <t>USTA</t>
  </si>
  <si>
    <t>HEMŞİRELER</t>
  </si>
  <si>
    <t>GECE</t>
  </si>
  <si>
    <t>PTESİ</t>
  </si>
  <si>
    <t>SALI</t>
  </si>
  <si>
    <t>CUMA</t>
  </si>
  <si>
    <t>PAZAR</t>
  </si>
  <si>
    <t>SERT</t>
  </si>
  <si>
    <t>ULU</t>
  </si>
  <si>
    <t>Hanım</t>
  </si>
  <si>
    <t>Şeyda</t>
  </si>
  <si>
    <t>Kübra</t>
  </si>
  <si>
    <t>Esra</t>
  </si>
  <si>
    <t>kıdemsiz</t>
  </si>
  <si>
    <t>Elif</t>
  </si>
  <si>
    <t>SAGLAM</t>
  </si>
  <si>
    <t>CETIN</t>
  </si>
  <si>
    <t>KOKSAL</t>
  </si>
  <si>
    <t>KAHYA</t>
  </si>
  <si>
    <t>MEKIK</t>
  </si>
  <si>
    <t>GUNDUZ</t>
  </si>
  <si>
    <t>Salı</t>
  </si>
  <si>
    <t>Çarşamba</t>
  </si>
  <si>
    <t>Perşembe</t>
  </si>
  <si>
    <t>Cuma</t>
  </si>
  <si>
    <t>ctesi</t>
  </si>
  <si>
    <t>Pazar</t>
  </si>
  <si>
    <t>Gündüz</t>
  </si>
  <si>
    <t>Gece</t>
  </si>
  <si>
    <t>Ctesi</t>
  </si>
  <si>
    <t>ÇAR</t>
  </si>
  <si>
    <t>PER</t>
  </si>
  <si>
    <t>CTESİ</t>
  </si>
  <si>
    <t>GÜNDÜZ</t>
  </si>
  <si>
    <t>TOPLAM ÇALIŞAN</t>
  </si>
  <si>
    <t>OCAK</t>
  </si>
  <si>
    <t>MART</t>
  </si>
  <si>
    <t>MAYIS</t>
  </si>
  <si>
    <t>HAZIRAN</t>
  </si>
  <si>
    <t>TEMMUZ</t>
  </si>
  <si>
    <t>EKIM</t>
  </si>
  <si>
    <t>KASIM</t>
  </si>
  <si>
    <t>ARALIK</t>
  </si>
  <si>
    <t>SUBAT</t>
  </si>
  <si>
    <t>NISAN</t>
  </si>
  <si>
    <t>AGUSTOS</t>
  </si>
  <si>
    <t>EYLUL</t>
  </si>
  <si>
    <t>ŞUBAT</t>
  </si>
  <si>
    <t>AĞUSTOS</t>
  </si>
  <si>
    <t>EYLÜL</t>
  </si>
  <si>
    <t>Toplam</t>
  </si>
  <si>
    <t>TOPLAM</t>
  </si>
</sst>
</file>

<file path=xl/styles.xml><?xml version="1.0" encoding="utf-8"?>
<styleSheet xmlns="http://schemas.openxmlformats.org/spreadsheetml/2006/main">
  <numFmts count="1">
    <numFmt numFmtId="164" formatCode="[$-F800]dddd\,\ mmmm\ dd\,\ yyyy"/>
  </numFmts>
  <fonts count="2">
    <font>
      <sz val="11"/>
      <color theme="1"/>
      <name val="Calibri"/>
      <family val="2"/>
      <charset val="162"/>
      <scheme val="minor"/>
    </font>
    <font>
      <sz val="8"/>
      <name val="Tahoma"/>
      <family val="2"/>
      <charset val="16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0" fillId="3" borderId="2" xfId="0" applyFill="1" applyBorder="1"/>
    <xf numFmtId="0" fontId="0" fillId="3" borderId="0" xfId="0" applyFill="1"/>
    <xf numFmtId="0" fontId="0" fillId="2" borderId="0" xfId="0" applyFill="1"/>
    <xf numFmtId="0" fontId="0" fillId="4" borderId="3" xfId="0" applyFill="1" applyBorder="1"/>
    <xf numFmtId="0" fontId="0" fillId="3" borderId="3" xfId="0" applyFill="1" applyBorder="1"/>
    <xf numFmtId="14" fontId="0" fillId="0" borderId="0" xfId="0" applyNumberFormat="1"/>
    <xf numFmtId="14" fontId="0" fillId="0" borderId="0" xfId="0" applyNumberFormat="1" applyBorder="1"/>
    <xf numFmtId="0" fontId="0" fillId="3" borderId="4" xfId="0" applyFill="1" applyBorder="1"/>
    <xf numFmtId="0" fontId="0" fillId="3" borderId="5" xfId="0" applyFill="1" applyBorder="1"/>
    <xf numFmtId="164" fontId="0" fillId="3" borderId="3" xfId="0" applyNumberFormat="1" applyFill="1" applyBorder="1"/>
    <xf numFmtId="0" fontId="0" fillId="5" borderId="3" xfId="0" applyFill="1" applyBorder="1"/>
    <xf numFmtId="0" fontId="0" fillId="6" borderId="3" xfId="0" applyFill="1" applyBorder="1"/>
    <xf numFmtId="0" fontId="0" fillId="4" borderId="3" xfId="0" applyFill="1" applyBorder="1" applyAlignment="1">
      <alignment horizontal="center" vertical="distributed"/>
    </xf>
    <xf numFmtId="0" fontId="0" fillId="0" borderId="0" xfId="0" applyFill="1" applyBorder="1"/>
    <xf numFmtId="0" fontId="0" fillId="0" borderId="0" xfId="0" applyFill="1"/>
    <xf numFmtId="0" fontId="0" fillId="0" borderId="0" xfId="0" applyFill="1" applyBorder="1" applyAlignment="1">
      <alignment horizontal="center" vertical="distributed"/>
    </xf>
    <xf numFmtId="164" fontId="0" fillId="0" borderId="0" xfId="0" applyNumberFormat="1" applyFill="1" applyBorder="1"/>
    <xf numFmtId="14" fontId="0" fillId="0" borderId="0" xfId="0" applyNumberFormat="1" applyFill="1" applyBorder="1"/>
    <xf numFmtId="0" fontId="0" fillId="6" borderId="0" xfId="0" applyFill="1"/>
    <xf numFmtId="0" fontId="0" fillId="5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42C80"/>
      <color rgb="FFDD8BCD"/>
      <color rgb="FFFAD2F2"/>
      <color rgb="FFFFCC66"/>
      <color rgb="FFF5CE9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71"/>
  <ax:ocxPr ax:name="BackColor" ax:value="2147483664"/>
  <ax:ocxPr ax:name="Caption" ax:value="ÇIKIŞ"/>
  <ax:ocxPr ax:name="Size" ax:value="3387;979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71"/>
  <ax:ocxPr ax:name="BackColor" ax:value="2147483664"/>
  <ax:ocxPr ax:name="Caption" ax:value="Vardiya Çizelgesi"/>
  <ax:ocxPr ax:name="Size" ax:value="3413;1032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BackColor" ax:value="2147483659"/>
  <ax:ocxPr ax:name="Size" ax:value="4445;900"/>
  <ax:ocxPr ax:name="PasswordChar" ax:value="42"/>
  <ax:ocxPr ax:name="Value" ax:value="A"/>
  <ax:ocxPr ax:name="FontName" ax:value="Calibri"/>
  <ax:ocxPr ax:name="FontHeight" ax:value="225"/>
  <ax:ocxPr ax:name="FontCharSet" ax:value="162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BackColor" ax:value="2147483651"/>
  <ax:ocxPr ax:name="Caption" ax:value="SOYADI ADI"/>
  <ax:ocxPr ax:name="Size" ax:value="7805;4498"/>
  <ax:ocxPr ax:name="BorderColor" ax:value="2147483656"/>
  <ax:ocxPr ax:name="FontName" ax:value="Calibri"/>
  <ax:ocxPr ax:name="FontHeight" ax:value="225"/>
  <ax:ocxPr ax:name="FontCharSet" ax:value="162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BackColor" ax:value="2147483651"/>
  <ax:ocxPr ax:name="Caption" ax:value="ŞİFRE"/>
  <ax:ocxPr ax:name="Size" ax:value="2646;741"/>
  <ax:ocxPr ax:name="BorderColor" ax:value="2147483655"/>
  <ax:ocxPr ax:name="FontName" ax:value="Calibri"/>
  <ax:ocxPr ax:name="FontHeight" ax:value="225"/>
  <ax:ocxPr ax:name="FontCharSet" ax:value="162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BackColor" ax:value="2147483659"/>
  <ax:ocxPr ax:name="Size" ax:value="4471;979"/>
  <ax:ocxPr ax:name="Value" ax:value="S"/>
  <ax:ocxPr ax:name="FontName" ax:value="Calibri"/>
  <ax:ocxPr ax:name="FontHeight" ax:value="225"/>
  <ax:ocxPr ax:name="FontCharSet" ax:value="162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71"/>
  <ax:ocxPr ax:name="BackColor" ax:value="2147483665"/>
  <ax:ocxPr ax:name="Caption" ax:value="GİRİŞ"/>
  <ax:ocxPr ax:name="Size" ax:value="2937;82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71"/>
  <ax:ocxPr ax:name="BackColor" ax:value="2147483665"/>
  <ax:ocxPr ax:name="Caption" ax:value="ŞİFRE DEĞİŞTİR"/>
  <ax:ocxPr ax:name="Size" ax:value="2963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51"/>
  <ax:ocxPr ax:name="Caption" ax:value="Gece/Gündüz Listesi"/>
  <ax:ocxPr ax:name="Size" ax:value="7117;127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51"/>
  <ax:ocxPr ax:name="Caption" ax:value="ÇIKIŞ"/>
  <ax:ocxPr ax:name="Size" ax:value="7276;1588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51"/>
  <ax:ocxPr ax:name="Caption" ax:value="Özel Durum Kayıt"/>
  <ax:ocxPr ax:name="Size" ax:value="7276;1561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51"/>
  <ax:ocxPr ax:name="Caption" ax:value="Hemşire Listesi"/>
  <ax:ocxPr ax:name="Size" ax:value="7276;1693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51"/>
  <ax:ocxPr ax:name="Caption" ax:value="Vardiya Çizelgesi"/>
  <ax:ocxPr ax:name="Size" ax:value="7250;1588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51"/>
  <ax:ocxPr ax:name="Caption" ax:value="İzin Listesi"/>
  <ax:ocxPr ax:name="Size" ax:value="7197;1508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CIKIS"/>
  <ax:ocxPr ax:name="Size" ax:value="3440;741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Anasayfa"/>
  <ax:ocxPr ax:name="Size" ax:value="4815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Kayıt"/>
  <ax:ocxPr ax:name="Size" ax:value="4524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ece Vardiyası"/>
  <ax:ocxPr ax:name="Size" ax:value="3175;873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Gündüz vardiyası"/>
  <ax:ocxPr ax:name="Size" ax:value="3228;90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ÇIKIŞ"/>
  <ax:ocxPr ax:name="Size" ax:value="3387;1032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İzin Ekle"/>
  <ax:ocxPr ax:name="Size" ax:value="3413;926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Hemşire Ekle"/>
  <ax:ocxPr ax:name="Size" ax:value="3413;1058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Anasayfa"/>
  <ax:ocxPr ax:name="Size" ax:value="3440;1058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PropertyBag">
  <ax:ocxPr ax:name="BackColor" ax:value="2147483651"/>
  <ax:ocxPr ax:name="ScrollBars" ax:value="3"/>
  <ax:ocxPr ax:name="DisplayStyle" ax:value="2"/>
  <ax:ocxPr ax:name="Size" ax:value="4657;2486"/>
  <ax:ocxPr ax:name="ColumnCount" ax:value="2"/>
  <ax:ocxPr ax:name="cColumnInfo" ax:value="1"/>
  <ax:ocxPr ax:name="MatchEntry" ax:value="0"/>
  <ax:ocxPr ax:name="FontName" ax:value="Calibri"/>
  <ax:ocxPr ax:name="FontHeight" ax:value="225"/>
  <ax:ocxPr ax:name="FontCharSet" ax:value="162"/>
  <ax:ocxPr ax:name="FontPitchAndFamily" ax:value="2"/>
  <ax:ocxPr ax:name="Width" ax:value="1762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Vardiyadan Sil"/>
  <ax:ocxPr ax:name="Size" ax:value="3307;82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Vardiyadan Sil"/>
  <ax:ocxPr ax:name="Size" ax:value="3228;82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PropertyBag">
  <ax:ocxPr ax:name="BackColor" ax:value="2147483651"/>
  <ax:ocxPr ax:name="ScrollBars" ax:value="3"/>
  <ax:ocxPr ax:name="DisplayStyle" ax:value="2"/>
  <ax:ocxPr ax:name="Size" ax:value="4577;2486"/>
  <ax:ocxPr ax:name="ColumnCount" ax:value="2"/>
  <ax:ocxPr ax:name="cColumnInfo" ax:value="1"/>
  <ax:ocxPr ax:name="MatchEntry" ax:value="0"/>
  <ax:ocxPr ax:name="FontName" ax:value="Calibri"/>
  <ax:ocxPr ax:name="FontHeight" ax:value="225"/>
  <ax:ocxPr ax:name="FontCharSet" ax:value="162"/>
  <ax:ocxPr ax:name="FontPitchAndFamily" ax:value="2"/>
  <ax:ocxPr ax:name="Width" ax:value="1762"/>
</ax:ocx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ÇIKIŞ"/>
  <ax:ocxPr ax:name="Size" ax:value="5054;1005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Giriş"/>
  <ax:ocxPr ax:name="Size" ax:value="5001;1005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ıkış"/>
  <ax:ocxPr ax:name="Size" ax:value="3096;76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ı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2937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889;1032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IKIS"/>
  <ax:ocxPr ax:name="Size" ax:value="3069;926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2910;90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ÇIKIŞ"/>
  <ax:ocxPr ax:name="Size" ax:value="3043;1005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5"/>
  <ax:ocxPr ax:name="Caption" ax:value="Kayıt"/>
  <ax:ocxPr ax:name="Size" ax:value="3440;1032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54"/>
  <ax:ocxPr ax:name="BackColor" ax:value="2147483665"/>
  <ax:ocxPr ax:name="Caption" ax:value="Anasayfa"/>
  <ax:ocxPr ax:name="Size" ax:value="3413;1032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254;1005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413;926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3307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408;71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228;82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307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254;82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201;873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254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zin Sil"/>
  <ax:ocxPr ax:name="Size" ax:value="3413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228;979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757;820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2805;741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122;76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201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PA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572;873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360;741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201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175;79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İzin Sil"/>
  <ax:ocxPr ax:name="Size" ax:value="3096;714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NASAYFA"/>
  <ax:ocxPr ax:name="Size" ax:value="3307;873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KAYIT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ÇIKIŞ"/>
  <ax:ocxPr ax:name="Size" ax:value="2990;847"/>
  <ax:ocxPr ax:name="FontName" ax:value="Calibri"/>
  <ax:ocxPr ax:name="FontHeight" ax:value="225"/>
  <ax:ocxPr ax:name="FontCharSet" ax:value="162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w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10" Type="http://schemas.openxmlformats.org/officeDocument/2006/relationships/image" Target="../media/image28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4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4" Type="http://schemas.openxmlformats.org/officeDocument/2006/relationships/image" Target="../media/image5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1</xdr:row>
      <xdr:rowOff>134911</xdr:rowOff>
    </xdr:from>
    <xdr:to>
      <xdr:col>8</xdr:col>
      <xdr:colOff>523875</xdr:colOff>
      <xdr:row>10</xdr:row>
      <xdr:rowOff>114300</xdr:rowOff>
    </xdr:to>
    <xdr:pic>
      <xdr:nvPicPr>
        <xdr:cNvPr id="4106" name="Picture 10" descr="C:\Program Files\Microsoft Office\MEDIA\CAGCAT10\j0240719.wm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324350" y="325411"/>
          <a:ext cx="1076325" cy="1693889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12.xml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control" Target="../activeX/activeX15.xml"/><Relationship Id="rId1" Type="http://schemas.openxmlformats.org/officeDocument/2006/relationships/vmlDrawing" Target="../drawings/vmlDrawing3.vml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control" Target="../activeX/activeX18.xml"/><Relationship Id="rId7" Type="http://schemas.openxmlformats.org/officeDocument/2006/relationships/control" Target="../activeX/activeX22.xml"/><Relationship Id="rId12" Type="http://schemas.openxmlformats.org/officeDocument/2006/relationships/control" Target="../activeX/activeX2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1.xml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0.xml"/><Relationship Id="rId10" Type="http://schemas.openxmlformats.org/officeDocument/2006/relationships/control" Target="../activeX/activeX25.xml"/><Relationship Id="rId4" Type="http://schemas.openxmlformats.org/officeDocument/2006/relationships/control" Target="../activeX/activeX19.xml"/><Relationship Id="rId9" Type="http://schemas.openxmlformats.org/officeDocument/2006/relationships/control" Target="../activeX/activeX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control" Target="../activeX/activeX28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control" Target="../activeX/activeX30.xml"/><Relationship Id="rId1" Type="http://schemas.openxmlformats.org/officeDocument/2006/relationships/vmlDrawing" Target="../drawings/vmlDrawing6.vml"/><Relationship Id="rId4" Type="http://schemas.openxmlformats.org/officeDocument/2006/relationships/control" Target="../activeX/activeX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control" Target="../activeX/activeX33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control" Target="../activeX/activeX35.xml"/><Relationship Id="rId1" Type="http://schemas.openxmlformats.org/officeDocument/2006/relationships/vmlDrawing" Target="../drawings/vmlDrawing8.vml"/><Relationship Id="rId5" Type="http://schemas.openxmlformats.org/officeDocument/2006/relationships/control" Target="../activeX/activeX38.xml"/><Relationship Id="rId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control" Target="../activeX/activeX39.xml"/><Relationship Id="rId1" Type="http://schemas.openxmlformats.org/officeDocument/2006/relationships/vmlDrawing" Target="../drawings/vmlDrawing9.vml"/><Relationship Id="rId5" Type="http://schemas.openxmlformats.org/officeDocument/2006/relationships/control" Target="../activeX/activeX42.xml"/><Relationship Id="rId4" Type="http://schemas.openxmlformats.org/officeDocument/2006/relationships/control" Target="../activeX/activeX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control" Target="../activeX/activeX43.xml"/><Relationship Id="rId1" Type="http://schemas.openxmlformats.org/officeDocument/2006/relationships/vmlDrawing" Target="../drawings/vmlDrawing10.vml"/><Relationship Id="rId5" Type="http://schemas.openxmlformats.org/officeDocument/2006/relationships/control" Target="../activeX/activeX46.xml"/><Relationship Id="rId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control" Target="../activeX/activeX47.xml"/><Relationship Id="rId1" Type="http://schemas.openxmlformats.org/officeDocument/2006/relationships/vmlDrawing" Target="../drawings/vmlDrawing11.vml"/><Relationship Id="rId5" Type="http://schemas.openxmlformats.org/officeDocument/2006/relationships/control" Target="../activeX/activeX50.xml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control" Target="../activeX/activeX51.xml"/><Relationship Id="rId1" Type="http://schemas.openxmlformats.org/officeDocument/2006/relationships/vmlDrawing" Target="../drawings/vmlDrawing12.vml"/><Relationship Id="rId5" Type="http://schemas.openxmlformats.org/officeDocument/2006/relationships/control" Target="../activeX/activeX54.xml"/><Relationship Id="rId4" Type="http://schemas.openxmlformats.org/officeDocument/2006/relationships/control" Target="../activeX/activeX5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control" Target="../activeX/activeX55.xml"/><Relationship Id="rId1" Type="http://schemas.openxmlformats.org/officeDocument/2006/relationships/vmlDrawing" Target="../drawings/vmlDrawing13.vml"/><Relationship Id="rId5" Type="http://schemas.openxmlformats.org/officeDocument/2006/relationships/control" Target="../activeX/activeX58.xml"/><Relationship Id="rId4" Type="http://schemas.openxmlformats.org/officeDocument/2006/relationships/control" Target="../activeX/activeX5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control" Target="../activeX/activeX59.xml"/><Relationship Id="rId1" Type="http://schemas.openxmlformats.org/officeDocument/2006/relationships/vmlDrawing" Target="../drawings/vmlDrawing14.vml"/><Relationship Id="rId5" Type="http://schemas.openxmlformats.org/officeDocument/2006/relationships/control" Target="../activeX/activeX62.xml"/><Relationship Id="rId4" Type="http://schemas.openxmlformats.org/officeDocument/2006/relationships/control" Target="../activeX/activeX6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control" Target="../activeX/activeX63.xml"/><Relationship Id="rId1" Type="http://schemas.openxmlformats.org/officeDocument/2006/relationships/vmlDrawing" Target="../drawings/vmlDrawing15.vml"/><Relationship Id="rId5" Type="http://schemas.openxmlformats.org/officeDocument/2006/relationships/control" Target="../activeX/activeX66.xml"/><Relationship Id="rId4" Type="http://schemas.openxmlformats.org/officeDocument/2006/relationships/control" Target="../activeX/activeX6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control" Target="../activeX/activeX67.xml"/><Relationship Id="rId1" Type="http://schemas.openxmlformats.org/officeDocument/2006/relationships/vmlDrawing" Target="../drawings/vmlDrawing16.vml"/><Relationship Id="rId5" Type="http://schemas.openxmlformats.org/officeDocument/2006/relationships/control" Target="../activeX/activeX70.xml"/><Relationship Id="rId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control" Target="../activeX/activeX71.xml"/><Relationship Id="rId1" Type="http://schemas.openxmlformats.org/officeDocument/2006/relationships/vmlDrawing" Target="../drawings/vmlDrawing17.vml"/><Relationship Id="rId5" Type="http://schemas.openxmlformats.org/officeDocument/2006/relationships/control" Target="../activeX/activeX74.xml"/><Relationship Id="rId4" Type="http://schemas.openxmlformats.org/officeDocument/2006/relationships/control" Target="../activeX/activeX7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control" Target="../activeX/activeX75.xml"/><Relationship Id="rId1" Type="http://schemas.openxmlformats.org/officeDocument/2006/relationships/vmlDrawing" Target="../drawings/vmlDrawing18.vml"/><Relationship Id="rId5" Type="http://schemas.openxmlformats.org/officeDocument/2006/relationships/control" Target="../activeX/activeX78.xml"/><Relationship Id="rId4" Type="http://schemas.openxmlformats.org/officeDocument/2006/relationships/control" Target="../activeX/activeX7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control" Target="../activeX/activeX79.xml"/><Relationship Id="rId1" Type="http://schemas.openxmlformats.org/officeDocument/2006/relationships/vmlDrawing" Target="../drawings/vmlDrawing19.vml"/><Relationship Id="rId5" Type="http://schemas.openxmlformats.org/officeDocument/2006/relationships/control" Target="../activeX/activeX82.xml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7"/>
  <dimension ref="A1"/>
  <sheetViews>
    <sheetView showGridLines="0" showRowColHeaders="0" tabSelected="1" workbookViewId="0">
      <selection activeCell="F24" sqref="F24"/>
    </sheetView>
  </sheetViews>
  <sheetFormatPr defaultRowHeight="15"/>
  <sheetData/>
  <pageMargins left="0.7" right="0.7" top="0.75" bottom="0.75" header="0.3" footer="0.3"/>
  <pageSetup paperSize="9" orientation="portrait" verticalDpi="300" r:id="rId1"/>
  <legacyDrawing r:id="rId2"/>
  <controls>
    <control shapeId="10248" r:id="rId3" name="CommandButton3"/>
    <control shapeId="10245" r:id="rId4" name="CommandButton1"/>
    <control shapeId="10242" r:id="rId5" name="TextBox2"/>
    <control shapeId="10243" r:id="rId6" name="Label1"/>
    <control shapeId="10244" r:id="rId7" name="Label2"/>
    <control shapeId="10249" r:id="rId8" name="TextBox1"/>
    <control shapeId="10250" r:id="rId9" name="CommandButton4"/>
    <control shapeId="10251" r:id="rId10" name="CommandButton5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6"/>
  <dimension ref="M30"/>
  <sheetViews>
    <sheetView showGridLines="0" showRowColHeaders="0" workbookViewId="0">
      <selection activeCell="F24" sqref="F24"/>
    </sheetView>
  </sheetViews>
  <sheetFormatPr defaultRowHeight="15"/>
  <sheetData>
    <row r="30" spans="13:13">
      <c r="M30" t="s">
        <v>9</v>
      </c>
    </row>
  </sheetData>
  <pageMargins left="0.7" right="0.7" top="0.75" bottom="0.75" header="0.3" footer="0.3"/>
  <drawing r:id="rId1"/>
  <legacyDrawing r:id="rId2"/>
  <controls>
    <control shapeId="4108" r:id="rId3" name="CommandButton4"/>
    <control shapeId="4107" r:id="rId4" name="CommandButton6"/>
    <control shapeId="4101" r:id="rId5" name="CommandButton1"/>
    <control shapeId="4102" r:id="rId6" name="CommandButton2"/>
    <control shapeId="4103" r:id="rId7" name="CommandButton3"/>
    <control shapeId="4105" r:id="rId8" name="CommandButton5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3"/>
  <dimension ref="A1:K15"/>
  <sheetViews>
    <sheetView showGridLines="0" showRowColHeaders="0" topLeftCell="A4" workbookViewId="0">
      <selection activeCell="F24" sqref="F24"/>
    </sheetView>
  </sheetViews>
  <sheetFormatPr defaultRowHeight="15"/>
  <cols>
    <col min="2" max="2" width="13.7109375" customWidth="1"/>
    <col min="3" max="3" width="18" customWidth="1"/>
    <col min="10" max="10" width="28.7109375" customWidth="1"/>
  </cols>
  <sheetData>
    <row r="1" spans="1:11">
      <c r="A1" s="1" t="s">
        <v>7</v>
      </c>
      <c r="B1" s="1" t="s">
        <v>6</v>
      </c>
      <c r="C1" s="2" t="s">
        <v>0</v>
      </c>
      <c r="K1" s="5" t="s">
        <v>8</v>
      </c>
    </row>
    <row r="2" spans="1:11">
      <c r="A2" s="7" t="s">
        <v>41</v>
      </c>
      <c r="B2" s="7" t="s">
        <v>18</v>
      </c>
      <c r="C2" s="7" t="s">
        <v>1</v>
      </c>
      <c r="J2" s="4" t="s">
        <v>3</v>
      </c>
      <c r="K2" s="4">
        <f>COUNTA(A2:A30)</f>
        <v>12</v>
      </c>
    </row>
    <row r="3" spans="1:11">
      <c r="A3" s="7" t="s">
        <v>16</v>
      </c>
      <c r="B3" s="7" t="s">
        <v>15</v>
      </c>
      <c r="C3" s="7" t="s">
        <v>1</v>
      </c>
      <c r="J3" s="4" t="s">
        <v>4</v>
      </c>
      <c r="K3" s="4">
        <f>COUNTIF(C2:C30,"Kıdemli")</f>
        <v>5</v>
      </c>
    </row>
    <row r="4" spans="1:11">
      <c r="A4" s="7" t="s">
        <v>26</v>
      </c>
      <c r="B4" s="7" t="s">
        <v>17</v>
      </c>
      <c r="C4" s="7" t="s">
        <v>1</v>
      </c>
      <c r="J4" s="4" t="s">
        <v>5</v>
      </c>
      <c r="K4" s="4">
        <f>COUNTIF(C3:C30,"Kıdemsiz")</f>
        <v>7</v>
      </c>
    </row>
    <row r="5" spans="1:11">
      <c r="A5" s="7" t="s">
        <v>42</v>
      </c>
      <c r="B5" s="7" t="s">
        <v>19</v>
      </c>
      <c r="C5" s="7" t="s">
        <v>1</v>
      </c>
    </row>
    <row r="6" spans="1:11">
      <c r="A6" s="7" t="s">
        <v>33</v>
      </c>
      <c r="B6" s="7" t="s">
        <v>35</v>
      </c>
      <c r="C6" s="7" t="s">
        <v>1</v>
      </c>
    </row>
    <row r="7" spans="1:11">
      <c r="A7" s="7" t="s">
        <v>25</v>
      </c>
      <c r="B7" s="7" t="s">
        <v>40</v>
      </c>
      <c r="C7" s="7" t="s">
        <v>2</v>
      </c>
    </row>
    <row r="8" spans="1:11">
      <c r="A8" s="7" t="s">
        <v>24</v>
      </c>
      <c r="B8" s="7" t="s">
        <v>20</v>
      </c>
      <c r="C8" s="7" t="s">
        <v>2</v>
      </c>
    </row>
    <row r="9" spans="1:11">
      <c r="A9" s="7" t="s">
        <v>43</v>
      </c>
      <c r="B9" s="7" t="s">
        <v>21</v>
      </c>
      <c r="C9" s="7" t="s">
        <v>2</v>
      </c>
    </row>
    <row r="10" spans="1:11">
      <c r="A10" s="7" t="s">
        <v>23</v>
      </c>
      <c r="B10" s="3" t="s">
        <v>22</v>
      </c>
      <c r="C10" s="3" t="s">
        <v>2</v>
      </c>
    </row>
    <row r="11" spans="1:11">
      <c r="A11" s="11" t="s">
        <v>34</v>
      </c>
      <c r="B11" s="10" t="s">
        <v>36</v>
      </c>
      <c r="C11" s="10" t="s">
        <v>39</v>
      </c>
    </row>
    <row r="12" spans="1:11">
      <c r="A12" s="11" t="s">
        <v>44</v>
      </c>
      <c r="B12" s="10" t="s">
        <v>37</v>
      </c>
      <c r="C12" s="10" t="s">
        <v>39</v>
      </c>
    </row>
    <row r="13" spans="1:11">
      <c r="A13" s="11" t="s">
        <v>45</v>
      </c>
      <c r="B13" s="10" t="s">
        <v>38</v>
      </c>
      <c r="C13" s="10" t="s">
        <v>39</v>
      </c>
    </row>
    <row r="14" spans="1:11">
      <c r="A14" s="7"/>
      <c r="B14" s="7"/>
      <c r="C14" s="7"/>
    </row>
    <row r="15" spans="1:11">
      <c r="A15" s="7"/>
      <c r="B15" s="7"/>
      <c r="C15" s="7"/>
    </row>
  </sheetData>
  <autoFilter ref="A1:C8">
    <sortState ref="A2:C13">
      <sortCondition ref="C1:C8"/>
    </sortState>
  </autoFilter>
  <pageMargins left="0.7" right="0.7" top="0.75" bottom="0.75" header="0.3" footer="0.3"/>
  <legacyDrawing r:id="rId1"/>
  <controls>
    <control shapeId="2051" r:id="rId2" name="CommandButton3"/>
    <control shapeId="2049" r:id="rId3" name="CommandButton1"/>
    <control shapeId="2050" r:id="rId4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8"/>
  <dimension ref="A2"/>
  <sheetViews>
    <sheetView showGridLines="0" showRowColHeaders="0" workbookViewId="0">
      <selection activeCell="F24" sqref="F24"/>
    </sheetView>
  </sheetViews>
  <sheetFormatPr defaultRowHeight="15"/>
  <sheetData>
    <row r="2" spans="1:1">
      <c r="A2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ayfa1"/>
  <dimension ref="B4"/>
  <sheetViews>
    <sheetView showGridLines="0" showRowColHeaders="0" workbookViewId="0">
      <selection activeCell="F24" sqref="F24"/>
    </sheetView>
  </sheetViews>
  <sheetFormatPr defaultRowHeight="15"/>
  <cols>
    <col min="1" max="1" width="10.42578125" customWidth="1"/>
  </cols>
  <sheetData>
    <row r="4" spans="2:2">
      <c r="B4" s="8"/>
    </row>
  </sheetData>
  <pageMargins left="0.7" right="0.7" top="0.75" bottom="0.75" header="0.3" footer="0.3"/>
  <pageSetup paperSize="9" orientation="portrait" horizontalDpi="300" verticalDpi="300" r:id="rId1"/>
  <legacyDrawing r:id="rId2"/>
  <controls>
    <control shapeId="1121" r:id="rId3" name="CommandButton13"/>
    <control shapeId="1120" r:id="rId4" name="CommandButton12"/>
    <control shapeId="1112" r:id="rId5" name="CommandButton10"/>
    <control shapeId="1099" r:id="rId6" name="CommandButton1"/>
    <control shapeId="1103" r:id="rId7" name="CommandButton5"/>
    <control shapeId="1107" r:id="rId8" name="CommandButton9"/>
    <control shapeId="1123" r:id="rId9" name="ListBox2"/>
    <control shapeId="1125" r:id="rId10" name="CommandButton2"/>
    <control shapeId="1126" r:id="rId11" name="CommandButton3"/>
    <control shapeId="1127" r:id="rId12" name="ListBox3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ayfa5"/>
  <dimension ref="A1:P14"/>
  <sheetViews>
    <sheetView showGridLines="0" showRowColHeaders="0" workbookViewId="0">
      <selection activeCell="F24" sqref="F24"/>
    </sheetView>
  </sheetViews>
  <sheetFormatPr defaultRowHeight="15"/>
  <cols>
    <col min="1" max="1" width="10.7109375" customWidth="1"/>
    <col min="2" max="2" width="11.42578125" customWidth="1"/>
    <col min="3" max="3" width="10.7109375" customWidth="1"/>
    <col min="4" max="4" width="13.85546875" customWidth="1"/>
  </cols>
  <sheetData>
    <row r="1" spans="1:16">
      <c r="A1" s="6"/>
      <c r="B1" s="6"/>
      <c r="C1" s="6" t="s">
        <v>59</v>
      </c>
      <c r="D1" s="6"/>
      <c r="E1" s="6"/>
      <c r="F1" s="6"/>
      <c r="G1" s="6"/>
      <c r="H1" s="6"/>
      <c r="I1" s="6"/>
      <c r="J1" s="6" t="s">
        <v>28</v>
      </c>
      <c r="K1" s="6"/>
      <c r="L1" s="6"/>
      <c r="M1" s="6"/>
      <c r="N1" s="6"/>
      <c r="O1" s="6"/>
      <c r="P1" s="6"/>
    </row>
    <row r="2" spans="1:16">
      <c r="A2" s="6" t="s">
        <v>27</v>
      </c>
      <c r="B2" s="6"/>
      <c r="C2" s="6" t="s">
        <v>29</v>
      </c>
      <c r="D2" s="6" t="s">
        <v>30</v>
      </c>
      <c r="E2" s="6" t="s">
        <v>56</v>
      </c>
      <c r="F2" s="6" t="s">
        <v>57</v>
      </c>
      <c r="G2" s="6" t="s">
        <v>31</v>
      </c>
      <c r="H2" s="6" t="s">
        <v>58</v>
      </c>
      <c r="I2" s="6" t="s">
        <v>32</v>
      </c>
      <c r="J2" s="6" t="s">
        <v>29</v>
      </c>
      <c r="K2" s="6" t="s">
        <v>30</v>
      </c>
      <c r="L2" s="6" t="s">
        <v>56</v>
      </c>
      <c r="M2" s="6" t="s">
        <v>57</v>
      </c>
      <c r="N2" s="6" t="s">
        <v>31</v>
      </c>
      <c r="O2" s="6" t="s">
        <v>58</v>
      </c>
      <c r="P2" s="6" t="s">
        <v>32</v>
      </c>
    </row>
    <row r="3" spans="1:16">
      <c r="A3" s="6" t="str">
        <f>'s2'!A2</f>
        <v>SAGLAM</v>
      </c>
      <c r="B3" s="6" t="str">
        <f>'s2'!B2</f>
        <v>Dilek</v>
      </c>
      <c r="C3" s="22" t="str">
        <f>IF(Sayfa1!C3=1,"*","")</f>
        <v/>
      </c>
      <c r="D3" s="22" t="str">
        <f>IF(Sayfa1!D3=1,"*","")</f>
        <v/>
      </c>
      <c r="E3" s="22" t="str">
        <f>IF(Sayfa1!E3=1,"*","")</f>
        <v/>
      </c>
      <c r="F3" s="22" t="str">
        <f>IF(Sayfa1!F3=1,"*","")</f>
        <v/>
      </c>
      <c r="G3" s="22" t="str">
        <f>IF(Sayfa1!G3=1,"*","")</f>
        <v/>
      </c>
      <c r="H3" s="22" t="str">
        <f>IF(Sayfa1!H3=1,"*","")</f>
        <v/>
      </c>
      <c r="I3" s="22" t="str">
        <f>IF(Sayfa1!I3=1,"*","")</f>
        <v/>
      </c>
      <c r="J3" s="22" t="str">
        <f>IF(Sayfa1!J3=1,"*","")</f>
        <v/>
      </c>
      <c r="K3" s="22" t="str">
        <f>IF(Sayfa1!K3=1,"*","")</f>
        <v/>
      </c>
      <c r="L3" s="22" t="str">
        <f>IF(Sayfa1!L3=1,"*","")</f>
        <v/>
      </c>
      <c r="M3" s="22" t="str">
        <f>IF(Sayfa1!M3=1,"*","")</f>
        <v/>
      </c>
      <c r="N3" s="22" t="str">
        <f>IF(Sayfa1!N3=1,"*","")</f>
        <v/>
      </c>
      <c r="O3" s="22" t="str">
        <f>IF(Sayfa1!O3=1,"*","")</f>
        <v/>
      </c>
      <c r="P3" s="22" t="str">
        <f>IF(Sayfa1!P3=1,"*","")</f>
        <v/>
      </c>
    </row>
    <row r="4" spans="1:16">
      <c r="A4" s="6" t="str">
        <f>'s2'!A3</f>
        <v>OKLU</v>
      </c>
      <c r="B4" s="6" t="str">
        <f>'s2'!B3</f>
        <v>Ayhan</v>
      </c>
      <c r="C4" s="22" t="str">
        <f>IF(Sayfa1!C4=1,"*","")</f>
        <v/>
      </c>
      <c r="D4" s="22" t="str">
        <f>IF(Sayfa1!D4=1,"*","")</f>
        <v/>
      </c>
      <c r="E4" s="22" t="str">
        <f>IF(Sayfa1!E4=1,"*","")</f>
        <v/>
      </c>
      <c r="F4" s="22" t="str">
        <f>IF(Sayfa1!F4=1,"*","")</f>
        <v/>
      </c>
      <c r="G4" s="22" t="str">
        <f>IF(Sayfa1!G4=1,"*","")</f>
        <v/>
      </c>
      <c r="H4" s="22" t="str">
        <f>IF(Sayfa1!H4=1,"*","")</f>
        <v/>
      </c>
      <c r="I4" s="22" t="str">
        <f>IF(Sayfa1!I4=1,"*","")</f>
        <v/>
      </c>
      <c r="J4" s="22" t="str">
        <f>IF(Sayfa1!J4=1,"*","")</f>
        <v/>
      </c>
      <c r="K4" s="22" t="str">
        <f>IF(Sayfa1!K4=1,"*","")</f>
        <v/>
      </c>
      <c r="L4" s="22" t="str">
        <f>IF(Sayfa1!L4=1,"*","")</f>
        <v/>
      </c>
      <c r="M4" s="22" t="str">
        <f>IF(Sayfa1!M4=1,"*","")</f>
        <v/>
      </c>
      <c r="N4" s="22" t="str">
        <f>IF(Sayfa1!N4=1,"*","")</f>
        <v/>
      </c>
      <c r="O4" s="22" t="str">
        <f>IF(Sayfa1!O4=1,"*","")</f>
        <v/>
      </c>
      <c r="P4" s="22" t="str">
        <f>IF(Sayfa1!P4=1,"*","")</f>
        <v/>
      </c>
    </row>
    <row r="5" spans="1:16">
      <c r="A5" s="6" t="str">
        <f>'s2'!A4</f>
        <v>USTA</v>
      </c>
      <c r="B5" s="6" t="str">
        <f>'s2'!B4</f>
        <v>Meryem</v>
      </c>
      <c r="C5" s="22" t="str">
        <f>IF(Sayfa1!C5=1,"*","")</f>
        <v/>
      </c>
      <c r="D5" s="22" t="str">
        <f>IF(Sayfa1!D5=1,"*","")</f>
        <v/>
      </c>
      <c r="E5" s="22" t="str">
        <f>IF(Sayfa1!E5=1,"*","")</f>
        <v/>
      </c>
      <c r="F5" s="22" t="str">
        <f>IF(Sayfa1!F5=1,"*","")</f>
        <v/>
      </c>
      <c r="G5" s="22" t="str">
        <f>IF(Sayfa1!G5=1,"*","")</f>
        <v/>
      </c>
      <c r="H5" s="22" t="str">
        <f>IF(Sayfa1!H5=1,"*","")</f>
        <v/>
      </c>
      <c r="I5" s="22" t="str">
        <f>IF(Sayfa1!I5=1,"*","")</f>
        <v/>
      </c>
      <c r="J5" s="22" t="str">
        <f>IF(Sayfa1!J5=1,"*","")</f>
        <v/>
      </c>
      <c r="K5" s="22" t="str">
        <f>IF(Sayfa1!K5=1,"*","")</f>
        <v/>
      </c>
      <c r="L5" s="22" t="str">
        <f>IF(Sayfa1!L5=1,"*","")</f>
        <v/>
      </c>
      <c r="M5" s="22" t="str">
        <f>IF(Sayfa1!M5=1,"*","")</f>
        <v/>
      </c>
      <c r="N5" s="22" t="str">
        <f>IF(Sayfa1!N5=1,"*","")</f>
        <v/>
      </c>
      <c r="O5" s="22" t="str">
        <f>IF(Sayfa1!O5=1,"*","")</f>
        <v/>
      </c>
      <c r="P5" s="22" t="str">
        <f>IF(Sayfa1!P5=1,"*","")</f>
        <v/>
      </c>
    </row>
    <row r="6" spans="1:16">
      <c r="A6" s="6" t="str">
        <f>'s2'!A5</f>
        <v>CETIN</v>
      </c>
      <c r="B6" s="6" t="str">
        <f>'s2'!B5</f>
        <v>Hacer</v>
      </c>
      <c r="C6" s="22" t="str">
        <f>IF(Sayfa1!C6=1,"*","")</f>
        <v/>
      </c>
      <c r="D6" s="22" t="str">
        <f>IF(Sayfa1!D6=1,"*","")</f>
        <v/>
      </c>
      <c r="E6" s="22" t="str">
        <f>IF(Sayfa1!E6=1,"*","")</f>
        <v/>
      </c>
      <c r="F6" s="22" t="str">
        <f>IF(Sayfa1!F6=1,"*","")</f>
        <v/>
      </c>
      <c r="G6" s="22" t="str">
        <f>IF(Sayfa1!G6=1,"*","")</f>
        <v/>
      </c>
      <c r="H6" s="22" t="str">
        <f>IF(Sayfa1!H6=1,"*","")</f>
        <v/>
      </c>
      <c r="I6" s="22" t="str">
        <f>IF(Sayfa1!I6=1,"*","")</f>
        <v/>
      </c>
      <c r="J6" s="22" t="str">
        <f>IF(Sayfa1!J6=1,"*","")</f>
        <v/>
      </c>
      <c r="K6" s="22" t="str">
        <f>IF(Sayfa1!K6=1,"*","")</f>
        <v/>
      </c>
      <c r="L6" s="22" t="str">
        <f>IF(Sayfa1!L6=1,"*","")</f>
        <v/>
      </c>
      <c r="M6" s="22" t="str">
        <f>IF(Sayfa1!M6=1,"*","")</f>
        <v/>
      </c>
      <c r="N6" s="22" t="str">
        <f>IF(Sayfa1!N6=1,"*","")</f>
        <v/>
      </c>
      <c r="O6" s="22" t="str">
        <f>IF(Sayfa1!O6=1,"*","")</f>
        <v/>
      </c>
      <c r="P6" s="22" t="str">
        <f>IF(Sayfa1!P6=1,"*","")</f>
        <v/>
      </c>
    </row>
    <row r="7" spans="1:16">
      <c r="A7" s="6" t="str">
        <f>'s2'!A6</f>
        <v>SERT</v>
      </c>
      <c r="B7" s="6" t="str">
        <f>'s2'!B6</f>
        <v>Hanım</v>
      </c>
      <c r="C7" s="22" t="str">
        <f>IF(Sayfa1!C7=1,"*","")</f>
        <v/>
      </c>
      <c r="D7" s="22" t="str">
        <f>IF(Sayfa1!D7=1,"*","")</f>
        <v/>
      </c>
      <c r="E7" s="22" t="str">
        <f>IF(Sayfa1!E7=1,"*","")</f>
        <v/>
      </c>
      <c r="F7" s="22" t="str">
        <f>IF(Sayfa1!F7=1,"*","")</f>
        <v/>
      </c>
      <c r="G7" s="22" t="str">
        <f>IF(Sayfa1!G7=1,"*","")</f>
        <v/>
      </c>
      <c r="H7" s="22" t="str">
        <f>IF(Sayfa1!H7=1,"*","")</f>
        <v/>
      </c>
      <c r="I7" s="22" t="str">
        <f>IF(Sayfa1!I7=1,"*","")</f>
        <v/>
      </c>
      <c r="J7" s="22" t="str">
        <f>IF(Sayfa1!J7=1,"*","")</f>
        <v/>
      </c>
      <c r="K7" s="22" t="str">
        <f>IF(Sayfa1!K7=1,"*","")</f>
        <v/>
      </c>
      <c r="L7" s="22" t="str">
        <f>IF(Sayfa1!L7=1,"*","")</f>
        <v/>
      </c>
      <c r="M7" s="22" t="str">
        <f>IF(Sayfa1!M7=1,"*","")</f>
        <v/>
      </c>
      <c r="N7" s="22" t="str">
        <f>IF(Sayfa1!N7=1,"*","")</f>
        <v/>
      </c>
      <c r="O7" s="22" t="str">
        <f>IF(Sayfa1!O7=1,"*","")</f>
        <v/>
      </c>
      <c r="P7" s="22" t="str">
        <f>IF(Sayfa1!P7=1,"*","")</f>
        <v/>
      </c>
    </row>
    <row r="8" spans="1:16">
      <c r="A8" s="6" t="str">
        <f>'s2'!A7</f>
        <v>HAKLI</v>
      </c>
      <c r="B8" s="6" t="str">
        <f>'s2'!B7</f>
        <v>Elif</v>
      </c>
      <c r="C8" s="22" t="str">
        <f>IF(Sayfa1!C8=1,"*","")</f>
        <v/>
      </c>
      <c r="D8" s="22" t="str">
        <f>IF(Sayfa1!D8=1,"*","")</f>
        <v/>
      </c>
      <c r="E8" s="22" t="str">
        <f>IF(Sayfa1!E8=1,"*","")</f>
        <v/>
      </c>
      <c r="F8" s="22" t="str">
        <f>IF(Sayfa1!F8=1,"*","")</f>
        <v/>
      </c>
      <c r="G8" s="22" t="str">
        <f>IF(Sayfa1!G8=1,"*","")</f>
        <v/>
      </c>
      <c r="H8" s="22" t="str">
        <f>IF(Sayfa1!H8=1,"*","")</f>
        <v/>
      </c>
      <c r="I8" s="22" t="str">
        <f>IF(Sayfa1!I8=1,"*","")</f>
        <v/>
      </c>
      <c r="J8" s="22" t="str">
        <f>IF(Sayfa1!J8=1,"*","")</f>
        <v/>
      </c>
      <c r="K8" s="22" t="str">
        <f>IF(Sayfa1!K8=1,"*","")</f>
        <v/>
      </c>
      <c r="L8" s="22" t="str">
        <f>IF(Sayfa1!L8=1,"*","")</f>
        <v/>
      </c>
      <c r="M8" s="22" t="str">
        <f>IF(Sayfa1!M8=1,"*","")</f>
        <v/>
      </c>
      <c r="N8" s="22" t="str">
        <f>IF(Sayfa1!N8=1,"*","")</f>
        <v/>
      </c>
      <c r="O8" s="22" t="str">
        <f>IF(Sayfa1!O8=1,"*","")</f>
        <v/>
      </c>
      <c r="P8" s="22" t="str">
        <f>IF(Sayfa1!P8=1,"*","")</f>
        <v/>
      </c>
    </row>
    <row r="9" spans="1:16">
      <c r="A9" s="6" t="str">
        <f>'s2'!A8</f>
        <v>USLU</v>
      </c>
      <c r="B9" s="6" t="str">
        <f>'s2'!B8</f>
        <v>Merve</v>
      </c>
      <c r="C9" s="22" t="str">
        <f>IF(Sayfa1!C9=1,"*","")</f>
        <v/>
      </c>
      <c r="D9" s="22" t="str">
        <f>IF(Sayfa1!D9=1,"*","")</f>
        <v/>
      </c>
      <c r="E9" s="22" t="str">
        <f>IF(Sayfa1!E9=1,"*","")</f>
        <v/>
      </c>
      <c r="F9" s="22" t="str">
        <f>IF(Sayfa1!F9=1,"*","")</f>
        <v/>
      </c>
      <c r="G9" s="22" t="str">
        <f>IF(Sayfa1!G9=1,"*","")</f>
        <v/>
      </c>
      <c r="H9" s="22" t="str">
        <f>IF(Sayfa1!H9=1,"*","")</f>
        <v/>
      </c>
      <c r="I9" s="22" t="str">
        <f>IF(Sayfa1!I9=1,"*","")</f>
        <v/>
      </c>
      <c r="J9" s="22" t="str">
        <f>IF(Sayfa1!J9=1,"*","")</f>
        <v/>
      </c>
      <c r="K9" s="22" t="str">
        <f>IF(Sayfa1!K9=1,"*","")</f>
        <v/>
      </c>
      <c r="L9" s="22" t="str">
        <f>IF(Sayfa1!L9=1,"*","")</f>
        <v/>
      </c>
      <c r="M9" s="22" t="str">
        <f>IF(Sayfa1!M9=1,"*","")</f>
        <v/>
      </c>
      <c r="N9" s="22" t="str">
        <f>IF(Sayfa1!N9=1,"*","")</f>
        <v/>
      </c>
      <c r="O9" s="22" t="str">
        <f>IF(Sayfa1!O9=1,"*","")</f>
        <v/>
      </c>
      <c r="P9" s="22" t="str">
        <f>IF(Sayfa1!P9=1,"*","")</f>
        <v/>
      </c>
    </row>
    <row r="10" spans="1:16">
      <c r="A10" s="6" t="str">
        <f>'s2'!A9</f>
        <v>KOKSAL</v>
      </c>
      <c r="B10" s="6" t="str">
        <f>'s2'!B9</f>
        <v>Gülizar</v>
      </c>
      <c r="C10" s="22" t="str">
        <f>IF(Sayfa1!C10=1,"*","")</f>
        <v/>
      </c>
      <c r="D10" s="22" t="str">
        <f>IF(Sayfa1!D10=1,"*","")</f>
        <v/>
      </c>
      <c r="E10" s="22" t="str">
        <f>IF(Sayfa1!E10=1,"*","")</f>
        <v/>
      </c>
      <c r="F10" s="22" t="str">
        <f>IF(Sayfa1!F10=1,"*","")</f>
        <v/>
      </c>
      <c r="G10" s="22" t="str">
        <f>IF(Sayfa1!G10=1,"*","")</f>
        <v/>
      </c>
      <c r="H10" s="22" t="str">
        <f>IF(Sayfa1!H10=1,"*","")</f>
        <v/>
      </c>
      <c r="I10" s="22" t="str">
        <f>IF(Sayfa1!I10=1,"*","")</f>
        <v/>
      </c>
      <c r="J10" s="22" t="str">
        <f>IF(Sayfa1!J10=1,"*","")</f>
        <v/>
      </c>
      <c r="K10" s="22" t="str">
        <f>IF(Sayfa1!K10=1,"*","")</f>
        <v/>
      </c>
      <c r="L10" s="22" t="str">
        <f>IF(Sayfa1!L10=1,"*","")</f>
        <v/>
      </c>
      <c r="M10" s="22" t="str">
        <f>IF(Sayfa1!M10=1,"*","")</f>
        <v/>
      </c>
      <c r="N10" s="22" t="str">
        <f>IF(Sayfa1!N10=1,"*","")</f>
        <v/>
      </c>
      <c r="O10" s="22" t="str">
        <f>IF(Sayfa1!O10=1,"*","")</f>
        <v/>
      </c>
      <c r="P10" s="22" t="str">
        <f>IF(Sayfa1!P10=1,"*","")</f>
        <v/>
      </c>
    </row>
    <row r="11" spans="1:16">
      <c r="A11" s="6" t="str">
        <f>'s2'!A10</f>
        <v>PEKSOY</v>
      </c>
      <c r="B11" s="6" t="str">
        <f>'s2'!B10</f>
        <v>İlknur</v>
      </c>
      <c r="C11" s="22" t="str">
        <f>IF(Sayfa1!C11=1,"*","")</f>
        <v/>
      </c>
      <c r="D11" s="22" t="str">
        <f>IF(Sayfa1!D11=1,"*","")</f>
        <v/>
      </c>
      <c r="E11" s="22" t="str">
        <f>IF(Sayfa1!E11=1,"*","")</f>
        <v/>
      </c>
      <c r="F11" s="22" t="str">
        <f>IF(Sayfa1!F11=1,"*","")</f>
        <v/>
      </c>
      <c r="G11" s="22" t="str">
        <f>IF(Sayfa1!G11=1,"*","")</f>
        <v/>
      </c>
      <c r="H11" s="22" t="str">
        <f>IF(Sayfa1!H11=1,"*","")</f>
        <v/>
      </c>
      <c r="I11" s="22" t="str">
        <f>IF(Sayfa1!I11=1,"*","")</f>
        <v/>
      </c>
      <c r="J11" s="22" t="str">
        <f>IF(Sayfa1!J11=1,"*","")</f>
        <v/>
      </c>
      <c r="K11" s="22" t="str">
        <f>IF(Sayfa1!K11=1,"*","")</f>
        <v/>
      </c>
      <c r="L11" s="22" t="str">
        <f>IF(Sayfa1!L11=1,"*","")</f>
        <v/>
      </c>
      <c r="M11" s="22" t="str">
        <f>IF(Sayfa1!M11=1,"*","")</f>
        <v/>
      </c>
      <c r="N11" s="22" t="str">
        <f>IF(Sayfa1!N11=1,"*","")</f>
        <v/>
      </c>
      <c r="O11" s="22" t="str">
        <f>IF(Sayfa1!O11=1,"*","")</f>
        <v/>
      </c>
      <c r="P11" s="22" t="str">
        <f>IF(Sayfa1!P11=1,"*","")</f>
        <v/>
      </c>
    </row>
    <row r="12" spans="1:16">
      <c r="A12" s="6" t="str">
        <f>'s2'!A11</f>
        <v>ULU</v>
      </c>
      <c r="B12" s="6" t="str">
        <f>'s2'!B11</f>
        <v>Şeyda</v>
      </c>
      <c r="C12" s="22" t="str">
        <f>IF(Sayfa1!C12=1,"*","")</f>
        <v/>
      </c>
      <c r="D12" s="22" t="str">
        <f>IF(Sayfa1!D12=1,"*","")</f>
        <v/>
      </c>
      <c r="E12" s="22" t="str">
        <f>IF(Sayfa1!E12=1,"*","")</f>
        <v/>
      </c>
      <c r="F12" s="22" t="str">
        <f>IF(Sayfa1!F12=1,"*","")</f>
        <v/>
      </c>
      <c r="G12" s="22" t="str">
        <f>IF(Sayfa1!G12=1,"*","")</f>
        <v/>
      </c>
      <c r="H12" s="22" t="str">
        <f>IF(Sayfa1!H12=1,"*","")</f>
        <v/>
      </c>
      <c r="I12" s="22" t="str">
        <f>IF(Sayfa1!I12=1,"*","")</f>
        <v/>
      </c>
      <c r="J12" s="22" t="str">
        <f>IF(Sayfa1!J12=1,"*","")</f>
        <v/>
      </c>
      <c r="K12" s="22" t="str">
        <f>IF(Sayfa1!K12=1,"*","")</f>
        <v/>
      </c>
      <c r="L12" s="22" t="str">
        <f>IF(Sayfa1!L12=1,"*","")</f>
        <v/>
      </c>
      <c r="M12" s="22" t="str">
        <f>IF(Sayfa1!M12=1,"*","")</f>
        <v/>
      </c>
      <c r="N12" s="22" t="str">
        <f>IF(Sayfa1!N12=1,"*","")</f>
        <v/>
      </c>
      <c r="O12" s="22" t="str">
        <f>IF(Sayfa1!O12=1,"*","")</f>
        <v/>
      </c>
      <c r="P12" s="22" t="str">
        <f>IF(Sayfa1!P12=1,"*","")</f>
        <v/>
      </c>
    </row>
    <row r="13" spans="1:16">
      <c r="A13" s="6" t="str">
        <f>'s2'!A12</f>
        <v>KAHYA</v>
      </c>
      <c r="B13" s="6" t="str">
        <f>'s2'!B12</f>
        <v>Kübra</v>
      </c>
      <c r="C13" s="22" t="str">
        <f>IF(Sayfa1!C13=1,"*","")</f>
        <v/>
      </c>
      <c r="D13" s="22" t="str">
        <f>IF(Sayfa1!D13=1,"*","")</f>
        <v/>
      </c>
      <c r="E13" s="22" t="str">
        <f>IF(Sayfa1!E13=1,"*","")</f>
        <v/>
      </c>
      <c r="F13" s="22" t="str">
        <f>IF(Sayfa1!F13=1,"*","")</f>
        <v/>
      </c>
      <c r="G13" s="22" t="str">
        <f>IF(Sayfa1!G13=1,"*","")</f>
        <v/>
      </c>
      <c r="H13" s="22" t="str">
        <f>IF(Sayfa1!H13=1,"*","")</f>
        <v/>
      </c>
      <c r="I13" s="22" t="str">
        <f>IF(Sayfa1!I13=1,"*","")</f>
        <v/>
      </c>
      <c r="J13" s="22" t="str">
        <f>IF(Sayfa1!J13=1,"*","")</f>
        <v/>
      </c>
      <c r="K13" s="22" t="str">
        <f>IF(Sayfa1!K13=1,"*","")</f>
        <v/>
      </c>
      <c r="L13" s="22" t="str">
        <f>IF(Sayfa1!L13=1,"*","")</f>
        <v/>
      </c>
      <c r="M13" s="22" t="str">
        <f>IF(Sayfa1!M13=1,"*","")</f>
        <v/>
      </c>
      <c r="N13" s="22" t="str">
        <f>IF(Sayfa1!N13=1,"*","")</f>
        <v/>
      </c>
      <c r="O13" s="22" t="str">
        <f>IF(Sayfa1!O13=1,"*","")</f>
        <v/>
      </c>
      <c r="P13" s="22" t="str">
        <f>IF(Sayfa1!P13=1,"*","")</f>
        <v/>
      </c>
    </row>
    <row r="14" spans="1:16">
      <c r="A14" s="6" t="str">
        <f>'s2'!A13</f>
        <v>MEKIK</v>
      </c>
      <c r="B14" s="6" t="str">
        <f>'s2'!B13</f>
        <v>Esra</v>
      </c>
      <c r="C14" s="22" t="str">
        <f>IF(Sayfa1!C14=1,"*","")</f>
        <v/>
      </c>
      <c r="D14" s="22" t="str">
        <f>IF(Sayfa1!D14=1,"*","")</f>
        <v/>
      </c>
      <c r="E14" s="22" t="str">
        <f>IF(Sayfa1!E14=1,"*","")</f>
        <v/>
      </c>
      <c r="F14" s="22" t="str">
        <f>IF(Sayfa1!F14=1,"*","")</f>
        <v/>
      </c>
      <c r="G14" s="22" t="str">
        <f>IF(Sayfa1!G14=1,"*","")</f>
        <v/>
      </c>
      <c r="H14" s="22" t="str">
        <f>IF(Sayfa1!H14=1,"*","")</f>
        <v/>
      </c>
      <c r="I14" s="22" t="str">
        <f>IF(Sayfa1!I14=1,"*","")</f>
        <v/>
      </c>
      <c r="J14" s="22" t="str">
        <f>IF(Sayfa1!J14=1,"*","")</f>
        <v/>
      </c>
      <c r="K14" s="22" t="str">
        <f>IF(Sayfa1!K14=1,"*","")</f>
        <v/>
      </c>
      <c r="L14" s="22" t="str">
        <f>IF(Sayfa1!L14=1,"*","")</f>
        <v/>
      </c>
      <c r="M14" s="22" t="str">
        <f>IF(Sayfa1!M14=1,"*","")</f>
        <v/>
      </c>
      <c r="N14" s="22" t="str">
        <f>IF(Sayfa1!N14=1,"*","")</f>
        <v/>
      </c>
      <c r="O14" s="22" t="str">
        <f>IF(Sayfa1!O14=1,"*","")</f>
        <v/>
      </c>
      <c r="P14" s="22" t="str">
        <f>IF(Sayfa1!P14=1,"*","")</f>
        <v/>
      </c>
    </row>
  </sheetData>
  <pageMargins left="0.7" right="0.7" top="0.75" bottom="0.75" header="0.3" footer="0.3"/>
  <legacyDrawing r:id="rId1"/>
  <controls>
    <control shapeId="3075" r:id="rId2" name="CommandButton3"/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ayfa10"/>
  <dimension ref="B1:F5"/>
  <sheetViews>
    <sheetView showGridLines="0" showRowColHeaders="0" workbookViewId="0">
      <selection activeCell="F24" sqref="F24"/>
    </sheetView>
  </sheetViews>
  <sheetFormatPr defaultRowHeight="15"/>
  <sheetData>
    <row r="1" spans="2:6">
      <c r="B1" s="21" t="s">
        <v>59</v>
      </c>
      <c r="E1" s="21" t="s">
        <v>28</v>
      </c>
    </row>
    <row r="2" spans="2:6">
      <c r="B2" t="s">
        <v>43</v>
      </c>
      <c r="C2" t="s">
        <v>21</v>
      </c>
      <c r="E2" t="s">
        <v>45</v>
      </c>
      <c r="F2" t="s">
        <v>38</v>
      </c>
    </row>
    <row r="3" spans="2:6">
      <c r="B3" t="s">
        <v>23</v>
      </c>
      <c r="C3" t="s">
        <v>22</v>
      </c>
      <c r="E3" t="s">
        <v>33</v>
      </c>
      <c r="F3" t="s">
        <v>35</v>
      </c>
    </row>
    <row r="4" spans="2:6">
      <c r="B4" t="s">
        <v>16</v>
      </c>
      <c r="C4" t="s">
        <v>15</v>
      </c>
      <c r="E4" t="s">
        <v>43</v>
      </c>
      <c r="F4" t="s">
        <v>21</v>
      </c>
    </row>
    <row r="5" spans="2:6">
      <c r="B5" t="s">
        <v>33</v>
      </c>
      <c r="C5" t="s">
        <v>35</v>
      </c>
    </row>
  </sheetData>
  <pageMargins left="0.7" right="0.7" top="0.75" bottom="0.75" header="0.3" footer="0.3"/>
  <legacyDrawing r:id="rId1"/>
  <controls>
    <control shapeId="19459" r:id="rId2" name="CommandButton3"/>
    <control shapeId="19458" r:id="rId3" name="CommandButton2"/>
    <control shapeId="19457" r:id="rId4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ayfa9"/>
  <dimension ref="A1:Q23"/>
  <sheetViews>
    <sheetView showGridLines="0" showRowColHeaders="0" workbookViewId="0">
      <selection activeCell="F24" sqref="F24"/>
    </sheetView>
  </sheetViews>
  <sheetFormatPr defaultRowHeight="15"/>
  <cols>
    <col min="4" max="4" width="11.5703125" customWidth="1"/>
  </cols>
  <sheetData>
    <row r="1" spans="1:17">
      <c r="A1" s="6" t="s">
        <v>7</v>
      </c>
      <c r="B1" s="6" t="s">
        <v>6</v>
      </c>
      <c r="C1" s="6" t="s">
        <v>61</v>
      </c>
      <c r="D1" s="6" t="s">
        <v>73</v>
      </c>
      <c r="E1" s="6" t="s">
        <v>62</v>
      </c>
      <c r="F1" s="6" t="s">
        <v>70</v>
      </c>
      <c r="G1" s="6" t="s">
        <v>63</v>
      </c>
      <c r="H1" s="6" t="s">
        <v>64</v>
      </c>
      <c r="I1" s="6" t="s">
        <v>65</v>
      </c>
      <c r="J1" s="6" t="s">
        <v>74</v>
      </c>
      <c r="K1" s="6" t="s">
        <v>75</v>
      </c>
      <c r="L1" s="6" t="s">
        <v>66</v>
      </c>
      <c r="M1" s="6" t="s">
        <v>67</v>
      </c>
      <c r="N1" s="6" t="s">
        <v>68</v>
      </c>
      <c r="P1" t="s">
        <v>76</v>
      </c>
    </row>
    <row r="2" spans="1:17">
      <c r="A2" s="6" t="str">
        <f>'s2'!A2</f>
        <v>SAGLAM</v>
      </c>
      <c r="B2" s="6" t="str">
        <f>'s2'!B2</f>
        <v>Dilek</v>
      </c>
      <c r="C2" s="7">
        <f ca="1">SUMIF(ocak!$A$4:$D$13,A2,ocak!$D$4:$D$13)+SUMIF(ocak!F4:I13,A2,ocak!I4:I13)+SUMIF(ocak!K4:N13,A2,ocak!N4:N13)+SUMIF(ocak!P4:S13,A2,ocak!S4:S13)</f>
        <v>0</v>
      </c>
      <c r="D2" s="7">
        <f ca="1">SUMIF(subat!$A$4:$D$13,B2,subat!$D$4:$D$13)+SUMIF(subat!G4:J13,B2,subat!J4:J13)+SUMIF(subat!L4:O13,B2,subat!O4:O13)+SUMIF(subat!Q4:T13,B2,subat!T4:T13)</f>
        <v>0</v>
      </c>
      <c r="E2" s="7">
        <f ca="1">SUMIF(mart!$A$4:$D$13,C2,mart!$D$4:$D$13)+SUMIF(mart!H4:K13,C2,mart!K4:K13)+SUMIF(mart!M4:P13,C2,mart!P4:P13)+SUMIF(mart!R4:U13,C2,mart!U4:U13)</f>
        <v>0</v>
      </c>
      <c r="F2" s="7">
        <f ca="1">SUMIF(nısan!$A$4:$D$13,D2,nısan!$D$4:$D$13)+SUMIF(nısan!I4:L13,D2,nısan!L4:L13)+SUMIF(nısan!N4:Q13,D2,nısan!Q4:Q13)+SUMIF(nısan!S4:V13,D2,nısan!V4:V13)</f>
        <v>0</v>
      </c>
      <c r="G2" s="7">
        <f ca="1">SUMIF(mayıs!$A$4:$D$13,E2,mayıs!$D$4:$D$13)+SUMIF(mayıs!J4:M13,E2,mayıs!M4:M13)+SUMIF(mayıs!O4:R13,E2,mayıs!R4:R13)+SUMIF(mayıs!T4:W13,E2,mayıs!W4:W13)</f>
        <v>0</v>
      </c>
      <c r="H2" s="7">
        <f ca="1">SUMIF(hazıran!$A$4:$D$13,F2,hazıran!$D$4:$D$13)+SUMIF(hazıran!K4:N13,F2,hazıran!N4:N13)+SUMIF(hazıran!P4:S13,F2,hazıran!S4:S13)+SUMIF(hazıran!U4:X13,F2,hazıran!X4:X13)</f>
        <v>0</v>
      </c>
      <c r="I2" s="7">
        <f ca="1">SUMIF(temmuz!$A$4:$D$13,G2,temmuz!$D$4:$D$13)+SUMIF(temmuz!L4:O13,G2,temmuz!O4:O13)+SUMIF(temmuz!Q4:T13,G2,temmuz!T4:T13)+SUMIF(temmuz!V4:Y13,G2,temmuz!Y4:Y13)</f>
        <v>0</v>
      </c>
      <c r="J2" s="7">
        <f ca="1">SUMIF(agustos!$A$4:$D$13,H2,agustos!$D$4:$D$13)+SUMIF(agustos!M4:P13,H2,agustos!P4:P13)+SUMIF(agustos!R4:U13,H2,agustos!U4:U13)+SUMIF(agustos!W4:Z13,H2,agustos!Z4:Z13)</f>
        <v>0</v>
      </c>
      <c r="K2" s="7">
        <f ca="1">SUMIF(eylul!$A$4:$D$13,I2,eylul!$D$4:$D$13)+SUMIF(eylul!N4:Q13,I2,eylul!Q4:Q13)+SUMIF(eylul!S4:V13,I2,eylul!V4:V13)+SUMIF(eylul!X4:AA13,I2,eylul!AA4:AA13)</f>
        <v>0</v>
      </c>
      <c r="L2" s="7">
        <f ca="1">SUMIF(ekım!$A$4:$D$13,J2,ekım!$D$4:$D$13)+SUMIF(ekım!O4:R13,J2,ekım!R4:R13)+SUMIF(ekım!T4:W13,J2,ekım!W4:W13)+SUMIF(ekım!Y4:AB13,J2,ekım!AB4:AB13)</f>
        <v>0</v>
      </c>
      <c r="M2" s="7">
        <f ca="1">SUMIF(kasım!$A$4:$D$13,K2,kasım!$D$4:$D$13)+SUMIF(kasım!P4:S13,K2,kasım!S4:S13)+SUMIF(kasım!U4:X13,K2,kasım!X4:X13)+SUMIF(kasım!Z4:AC13,K2,kasım!AC4:AC13)</f>
        <v>0</v>
      </c>
      <c r="N2" s="7">
        <f ca="1">SUMIF(aralık!$A$4:$D$13,L2,aralık!$D$4:$D$13)+SUMIF(aralık!Q4:T13,L2,aralık!T4:T13)+SUMIF(aralık!V4:Y13,L2,aralık!Y4:Y13)+SUMIF(aralık!AA4:AD13,L2,aralık!AD4:AD13)</f>
        <v>0</v>
      </c>
      <c r="P2" s="17">
        <f ca="1">SUM(C2:N2)</f>
        <v>0</v>
      </c>
      <c r="Q2" t="str">
        <f t="shared" ref="Q2:Q9" ca="1" si="0">IF(P2&gt;14,"14 GÜNDEN FAZLA İZİN VERİLDİ","İZİN VERİLDİ")</f>
        <v>İZİN VERİLDİ</v>
      </c>
    </row>
    <row r="3" spans="1:17">
      <c r="A3" s="6" t="str">
        <f>'s2'!A3</f>
        <v>OKLU</v>
      </c>
      <c r="B3" s="6" t="str">
        <f>'s2'!B3</f>
        <v>Ayhan</v>
      </c>
      <c r="C3" s="7">
        <f ca="1">SUMIF(ocak!$A$4:$D$13,A3,ocak!$D$4:$D$13)+SUMIF(ocak!F5:I14,A3,ocak!I5:I14)+SUMIF(ocak!K5:N14,A3,ocak!N5:N14)+SUMIF(ocak!P5:S14,A3,ocak!S5:S14)</f>
        <v>0</v>
      </c>
      <c r="D3" s="7">
        <f ca="1">SUMIF(subat!$A$4:$D$13,B3,subat!$D$4:$D$13)+SUMIF(subat!G5:J14,B3,subat!J5:J14)+SUMIF(subat!L5:O14,B3,subat!O5:O14)+SUMIF(subat!Q5:T14,B3,subat!T5:T14)</f>
        <v>0</v>
      </c>
      <c r="E3" s="7">
        <f ca="1">SUMIF(mart!$A$4:$D$13,C3,mart!$D$4:$D$13)+SUMIF(mart!H5:K14,C3,mart!K5:K14)+SUMIF(mart!M5:P14,C3,mart!P5:P14)+SUMIF(mart!R5:U14,C3,mart!U5:U14)</f>
        <v>0</v>
      </c>
      <c r="F3" s="7">
        <f ca="1">SUMIF(nısan!$A$4:$D$13,D3,nısan!$D$4:$D$13)+SUMIF(nısan!I5:L14,D3,nısan!L5:L14)+SUMIF(nısan!N5:Q14,D3,nısan!Q5:Q14)+SUMIF(nısan!S5:V14,D3,nısan!V5:V14)</f>
        <v>0</v>
      </c>
      <c r="G3" s="7">
        <f ca="1">SUMIF(mayıs!$A$4:$D$13,E3,mayıs!$D$4:$D$13)+SUMIF(mayıs!J5:M14,E3,mayıs!M5:M14)+SUMIF(mayıs!O5:R14,E3,mayıs!R5:R14)+SUMIF(mayıs!T5:W14,E3,mayıs!W5:W14)</f>
        <v>0</v>
      </c>
      <c r="H3" s="7">
        <f ca="1">SUMIF(hazıran!$A$4:$D$13,F3,hazıran!$D$4:$D$13)+SUMIF(hazıran!K5:N14,F3,hazıran!N5:N14)+SUMIF(hazıran!P5:S14,F3,hazıran!S5:S14)+SUMIF(hazıran!U5:X14,F3,hazıran!X5:X14)</f>
        <v>0</v>
      </c>
      <c r="I3" s="7">
        <f ca="1">SUMIF(temmuz!$A$4:$D$13,G3,temmuz!$D$4:$D$13)+SUMIF(temmuz!L5:O14,G3,temmuz!O5:O14)+SUMIF(temmuz!Q5:T14,G3,temmuz!T5:T14)+SUMIF(temmuz!V5:Y14,G3,temmuz!Y5:Y14)</f>
        <v>0</v>
      </c>
      <c r="J3" s="7">
        <f ca="1">SUMIF(agustos!$A$4:$D$13,H3,agustos!$D$4:$D$13)+SUMIF(agustos!M5:P14,H3,agustos!P5:P14)+SUMIF(agustos!R5:U14,H3,agustos!U5:U14)+SUMIF(agustos!W5:Z14,H3,agustos!Z5:Z14)</f>
        <v>0</v>
      </c>
      <c r="K3" s="7">
        <f ca="1">SUMIF(eylul!$A$4:$D$13,I3,eylul!$D$4:$D$13)+SUMIF(eylul!N5:Q14,I3,eylul!Q5:Q14)+SUMIF(eylul!S5:V14,I3,eylul!V5:V14)+SUMIF(eylul!X5:AA14,I3,eylul!AA5:AA14)</f>
        <v>0</v>
      </c>
      <c r="L3" s="7">
        <f ca="1">SUMIF(ekım!$A$4:$D$13,J3,ekım!$D$4:$D$13)+SUMIF(ekım!O5:R14,J3,ekım!R5:R14)+SUMIF(ekım!T5:W14,J3,ekım!W5:W14)+SUMIF(ekım!Y5:AB14,J3,ekım!AB5:AB14)</f>
        <v>0</v>
      </c>
      <c r="M3" s="7">
        <f ca="1">SUMIF(kasım!$A$4:$D$13,K3,kasım!$D$4:$D$13)+SUMIF(kasım!P5:S14,K3,kasım!S5:S14)+SUMIF(kasım!U5:X14,K3,kasım!X5:X14)+SUMIF(kasım!Z5:AC14,K3,kasım!AC5:AC14)</f>
        <v>0</v>
      </c>
      <c r="N3" s="7">
        <f ca="1">SUMIF(aralık!$A$4:$D$13,L3,aralık!$D$4:$D$13)+SUMIF(aralık!Q5:T14,L3,aralık!T5:T14)+SUMIF(aralık!V5:Y14,L3,aralık!Y5:Y14)+SUMIF(aralık!AA5:AD14,L3,aralık!AD5:AD14)</f>
        <v>0</v>
      </c>
      <c r="P3" s="17">
        <f t="shared" ref="P3:P9" ca="1" si="1">SUM(C3:N3)</f>
        <v>0</v>
      </c>
      <c r="Q3" t="str">
        <f t="shared" ca="1" si="0"/>
        <v>İZİN VERİLDİ</v>
      </c>
    </row>
    <row r="4" spans="1:17">
      <c r="A4" s="6" t="str">
        <f>'s2'!A4</f>
        <v>USTA</v>
      </c>
      <c r="B4" s="6" t="str">
        <f>'s2'!B4</f>
        <v>Meryem</v>
      </c>
      <c r="C4" s="7">
        <f ca="1">SUMIF(ocak!$A$4:$D$13,A4,ocak!$D$4:$D$13)+SUMIF(ocak!F6:I15,A4,ocak!I6:I15)+SUMIF(ocak!K6:N15,A4,ocak!N6:N15)+SUMIF(ocak!P6:S15,A4,ocak!S6:S15)</f>
        <v>0</v>
      </c>
      <c r="D4" s="7">
        <f ca="1">SUMIF(subat!$A$4:$D$13,B4,subat!$D$4:$D$13)+SUMIF(subat!G6:J15,B4,subat!J6:J15)+SUMIF(subat!L6:O15,B4,subat!O6:O15)+SUMIF(subat!Q6:T15,B4,subat!T6:T15)</f>
        <v>0</v>
      </c>
      <c r="E4" s="7">
        <f ca="1">SUMIF(mart!$A$4:$D$13,C4,mart!$D$4:$D$13)+SUMIF(mart!H6:K15,C4,mart!K6:K15)+SUMIF(mart!M6:P15,C4,mart!P6:P15)+SUMIF(mart!R6:U15,C4,mart!U6:U15)</f>
        <v>0</v>
      </c>
      <c r="F4" s="7">
        <f ca="1">SUMIF(nısan!$A$4:$D$13,D4,nısan!$D$4:$D$13)+SUMIF(nısan!I6:L15,D4,nısan!L6:L15)+SUMIF(nısan!N6:Q15,D4,nısan!Q6:Q15)+SUMIF(nısan!S6:V15,D4,nısan!V6:V15)</f>
        <v>0</v>
      </c>
      <c r="G4" s="7">
        <f ca="1">SUMIF(mayıs!$A$4:$D$13,E4,mayıs!$D$4:$D$13)+SUMIF(mayıs!J6:M15,E4,mayıs!M6:M15)+SUMIF(mayıs!O6:R15,E4,mayıs!R6:R15)+SUMIF(mayıs!T6:W15,E4,mayıs!W6:W15)</f>
        <v>0</v>
      </c>
      <c r="H4" s="7">
        <f ca="1">SUMIF(hazıran!$A$4:$D$13,F4,hazıran!$D$4:$D$13)+SUMIF(hazıran!K6:N15,F4,hazıran!N6:N15)+SUMIF(hazıran!P6:S15,F4,hazıran!S6:S15)+SUMIF(hazıran!U6:X15,F4,hazıran!X6:X15)</f>
        <v>0</v>
      </c>
      <c r="I4" s="7">
        <f ca="1">SUMIF(temmuz!$A$4:$D$13,G4,temmuz!$D$4:$D$13)+SUMIF(temmuz!L6:O15,G4,temmuz!O6:O15)+SUMIF(temmuz!Q6:T15,G4,temmuz!T6:T15)+SUMIF(temmuz!V6:Y15,G4,temmuz!Y6:Y15)</f>
        <v>0</v>
      </c>
      <c r="J4" s="7">
        <f ca="1">SUMIF(agustos!$A$4:$D$13,H4,agustos!$D$4:$D$13)+SUMIF(agustos!M6:P15,H4,agustos!P6:P15)+SUMIF(agustos!R6:U15,H4,agustos!U6:U15)+SUMIF(agustos!W6:Z15,H4,agustos!Z6:Z15)</f>
        <v>0</v>
      </c>
      <c r="K4" s="7">
        <f ca="1">SUMIF(eylul!$A$4:$D$13,I4,eylul!$D$4:$D$13)+SUMIF(eylul!N6:Q15,I4,eylul!Q6:Q15)+SUMIF(eylul!S6:V15,I4,eylul!V6:V15)+SUMIF(eylul!X6:AA15,I4,eylul!AA6:AA15)</f>
        <v>0</v>
      </c>
      <c r="L4" s="7">
        <f ca="1">SUMIF(ekım!$A$4:$D$13,J4,ekım!$D$4:$D$13)+SUMIF(ekım!O6:R15,J4,ekım!R6:R15)+SUMIF(ekım!T6:W15,J4,ekım!W6:W15)+SUMIF(ekım!Y6:AB15,J4,ekım!AB6:AB15)</f>
        <v>0</v>
      </c>
      <c r="M4" s="7">
        <f ca="1">SUMIF(kasım!$A$4:$D$13,K4,kasım!$D$4:$D$13)+SUMIF(kasım!P6:S15,K4,kasım!S6:S15)+SUMIF(kasım!U6:X15,K4,kasım!X6:X15)+SUMIF(kasım!Z6:AC15,K4,kasım!AC6:AC15)</f>
        <v>0</v>
      </c>
      <c r="N4" s="7">
        <f ca="1">SUMIF(aralık!$A$4:$D$13,L4,aralık!$D$4:$D$13)+SUMIF(aralık!Q6:T15,L4,aralık!T6:T15)+SUMIF(aralık!V6:Y15,L4,aralık!Y6:Y15)+SUMIF(aralık!AA6:AD15,L4,aralık!AD6:AD15)</f>
        <v>0</v>
      </c>
      <c r="P4" s="17">
        <f t="shared" ca="1" si="1"/>
        <v>0</v>
      </c>
      <c r="Q4" t="str">
        <f t="shared" ca="1" si="0"/>
        <v>İZİN VERİLDİ</v>
      </c>
    </row>
    <row r="5" spans="1:17">
      <c r="A5" s="6" t="str">
        <f>'s2'!A5</f>
        <v>CETIN</v>
      </c>
      <c r="B5" s="6" t="str">
        <f>'s2'!B5</f>
        <v>Hacer</v>
      </c>
      <c r="C5" s="7">
        <f ca="1">SUMIF(ocak!$A$4:$D$13,A5,ocak!$D$4:$D$13)+SUMIF(ocak!F7:I16,A5,ocak!I7:I16)+SUMIF(ocak!K7:N16,A5,ocak!N7:N16)+SUMIF(ocak!P7:S16,A5,ocak!S7:S16)</f>
        <v>0</v>
      </c>
      <c r="D5" s="7">
        <f ca="1">SUMIF(subat!$A$4:$D$13,B5,subat!$D$4:$D$13)+SUMIF(subat!G7:J16,B5,subat!J7:J16)+SUMIF(subat!L7:O16,B5,subat!O7:O16)+SUMIF(subat!Q7:T16,B5,subat!T7:T16)</f>
        <v>0</v>
      </c>
      <c r="E5" s="7">
        <f ca="1">SUMIF(mart!$A$4:$D$13,C5,mart!$D$4:$D$13)+SUMIF(mart!H7:K16,C5,mart!K7:K16)+SUMIF(mart!M7:P16,C5,mart!P7:P16)+SUMIF(mart!R7:U16,C5,mart!U7:U16)</f>
        <v>0</v>
      </c>
      <c r="F5" s="7">
        <f ca="1">SUMIF(nısan!$A$4:$D$13,D5,nısan!$D$4:$D$13)+SUMIF(nısan!I7:L16,D5,nısan!L7:L16)+SUMIF(nısan!N7:Q16,D5,nısan!Q7:Q16)+SUMIF(nısan!S7:V16,D5,nısan!V7:V16)</f>
        <v>0</v>
      </c>
      <c r="G5" s="7">
        <f ca="1">SUMIF(mayıs!$A$4:$D$13,E5,mayıs!$D$4:$D$13)+SUMIF(mayıs!J7:M16,E5,mayıs!M7:M16)+SUMIF(mayıs!O7:R16,E5,mayıs!R7:R16)+SUMIF(mayıs!T7:W16,E5,mayıs!W7:W16)</f>
        <v>0</v>
      </c>
      <c r="H5" s="7">
        <f ca="1">SUMIF(hazıran!$A$4:$D$13,F5,hazıran!$D$4:$D$13)+SUMIF(hazıran!K7:N16,F5,hazıran!N7:N16)+SUMIF(hazıran!P7:S16,F5,hazıran!S7:S16)+SUMIF(hazıran!U7:X16,F5,hazıran!X7:X16)</f>
        <v>0</v>
      </c>
      <c r="I5" s="7">
        <f ca="1">SUMIF(temmuz!$A$4:$D$13,G5,temmuz!$D$4:$D$13)+SUMIF(temmuz!L7:O16,G5,temmuz!O7:O16)+SUMIF(temmuz!Q7:T16,G5,temmuz!T7:T16)+SUMIF(temmuz!V7:Y16,G5,temmuz!Y7:Y16)</f>
        <v>0</v>
      </c>
      <c r="J5" s="7">
        <f ca="1">SUMIF(agustos!$A$4:$D$13,H5,agustos!$D$4:$D$13)+SUMIF(agustos!M7:P16,H5,agustos!P7:P16)+SUMIF(agustos!R7:U16,H5,agustos!U7:U16)+SUMIF(agustos!W7:Z16,H5,agustos!Z7:Z16)</f>
        <v>0</v>
      </c>
      <c r="K5" s="7">
        <f ca="1">SUMIF(eylul!$A$4:$D$13,I5,eylul!$D$4:$D$13)+SUMIF(eylul!N7:Q16,I5,eylul!Q7:Q16)+SUMIF(eylul!S7:V16,I5,eylul!V7:V16)+SUMIF(eylul!X7:AA16,I5,eylul!AA7:AA16)</f>
        <v>0</v>
      </c>
      <c r="L5" s="7">
        <f ca="1">SUMIF(ekım!$A$4:$D$13,J5,ekım!$D$4:$D$13)+SUMIF(ekım!O7:R16,J5,ekım!R7:R16)+SUMIF(ekım!T7:W16,J5,ekım!W7:W16)+SUMIF(ekım!Y7:AB16,J5,ekım!AB7:AB16)</f>
        <v>0</v>
      </c>
      <c r="M5" s="7">
        <f ca="1">SUMIF(kasım!$A$4:$D$13,K5,kasım!$D$4:$D$13)+SUMIF(kasım!P7:S16,K5,kasım!S7:S16)+SUMIF(kasım!U7:X16,K5,kasım!X7:X16)+SUMIF(kasım!Z7:AC16,K5,kasım!AC7:AC16)</f>
        <v>0</v>
      </c>
      <c r="N5" s="7">
        <f ca="1">SUMIF(aralık!$A$4:$D$13,L5,aralık!$D$4:$D$13)+SUMIF(aralık!Q7:T16,L5,aralık!T7:T16)+SUMIF(aralık!V7:Y16,L5,aralık!Y7:Y16)+SUMIF(aralık!AA7:AD16,L5,aralık!AD7:AD16)</f>
        <v>0</v>
      </c>
      <c r="P5" s="17">
        <f t="shared" ca="1" si="1"/>
        <v>0</v>
      </c>
      <c r="Q5" t="str">
        <f t="shared" ca="1" si="0"/>
        <v>İZİN VERİLDİ</v>
      </c>
    </row>
    <row r="6" spans="1:17">
      <c r="A6" s="6" t="str">
        <f>'s2'!A6</f>
        <v>SERT</v>
      </c>
      <c r="B6" s="6" t="str">
        <f>'s2'!B6</f>
        <v>Hanım</v>
      </c>
      <c r="C6" s="7">
        <f ca="1">SUMIF(ocak!$A$4:$D$13,A6,ocak!$D$4:$D$13)+SUMIF(ocak!F8:I17,A6,ocak!I8:I17)+SUMIF(ocak!K8:N17,A6,ocak!N8:N17)+SUMIF(ocak!P8:S17,A6,ocak!S8:S17)</f>
        <v>0</v>
      </c>
      <c r="D6" s="7">
        <f ca="1">SUMIF(subat!$A$4:$D$13,B6,subat!$D$4:$D$13)+SUMIF(subat!G8:J17,B6,subat!J8:J17)+SUMIF(subat!L8:O17,B6,subat!O8:O17)+SUMIF(subat!Q8:T17,B6,subat!T8:T17)</f>
        <v>0</v>
      </c>
      <c r="E6" s="7">
        <f ca="1">SUMIF(mart!$A$4:$D$13,C6,mart!$D$4:$D$13)+SUMIF(mart!H8:K17,C6,mart!K8:K17)+SUMIF(mart!M8:P17,C6,mart!P8:P17)+SUMIF(mart!R8:U17,C6,mart!U8:U17)</f>
        <v>0</v>
      </c>
      <c r="F6" s="7">
        <f ca="1">SUMIF(nısan!$A$4:$D$13,D6,nısan!$D$4:$D$13)+SUMIF(nısan!I8:L17,D6,nısan!L8:L17)+SUMIF(nısan!N8:Q17,D6,nısan!Q8:Q17)+SUMIF(nısan!S8:V17,D6,nısan!V8:V17)</f>
        <v>0</v>
      </c>
      <c r="G6" s="7">
        <f ca="1">SUMIF(mayıs!$A$4:$D$13,E6,mayıs!$D$4:$D$13)+SUMIF(mayıs!J8:M17,E6,mayıs!M8:M17)+SUMIF(mayıs!O8:R17,E6,mayıs!R8:R17)+SUMIF(mayıs!T8:W17,E6,mayıs!W8:W17)</f>
        <v>0</v>
      </c>
      <c r="H6" s="7">
        <f ca="1">SUMIF(hazıran!$A$4:$D$13,F6,hazıran!$D$4:$D$13)+SUMIF(hazıran!K8:N17,F6,hazıran!N8:N17)+SUMIF(hazıran!P8:S17,F6,hazıran!S8:S17)+SUMIF(hazıran!U8:X17,F6,hazıran!X8:X17)</f>
        <v>0</v>
      </c>
      <c r="I6" s="7">
        <f ca="1">SUMIF(temmuz!$A$4:$D$13,G6,temmuz!$D$4:$D$13)+SUMIF(temmuz!L8:O17,G6,temmuz!O8:O17)+SUMIF(temmuz!Q8:T17,G6,temmuz!T8:T17)+SUMIF(temmuz!V8:Y17,G6,temmuz!Y8:Y17)</f>
        <v>0</v>
      </c>
      <c r="J6" s="7">
        <f ca="1">SUMIF(agustos!$A$4:$D$13,H6,agustos!$D$4:$D$13)+SUMIF(agustos!M8:P17,H6,agustos!P8:P17)+SUMIF(agustos!R8:U17,H6,agustos!U8:U17)+SUMIF(agustos!W8:Z17,H6,agustos!Z8:Z17)</f>
        <v>0</v>
      </c>
      <c r="K6" s="7">
        <f ca="1">SUMIF(eylul!$A$4:$D$13,I6,eylul!$D$4:$D$13)+SUMIF(eylul!N8:Q17,I6,eylul!Q8:Q17)+SUMIF(eylul!S8:V17,I6,eylul!V8:V17)+SUMIF(eylul!X8:AA17,I6,eylul!AA8:AA17)</f>
        <v>0</v>
      </c>
      <c r="L6" s="7">
        <f ca="1">SUMIF(ekım!$A$4:$D$13,J6,ekım!$D$4:$D$13)+SUMIF(ekım!O8:R17,J6,ekım!R8:R17)+SUMIF(ekım!T8:W17,J6,ekım!W8:W17)+SUMIF(ekım!Y8:AB17,J6,ekım!AB8:AB17)</f>
        <v>0</v>
      </c>
      <c r="M6" s="7">
        <f ca="1">SUMIF(kasım!$A$4:$D$13,K6,kasım!$D$4:$D$13)+SUMIF(kasım!P8:S17,K6,kasım!S8:S17)+SUMIF(kasım!U8:X17,K6,kasım!X8:X17)+SUMIF(kasım!Z8:AC17,K6,kasım!AC8:AC17)</f>
        <v>0</v>
      </c>
      <c r="N6" s="7">
        <f ca="1">SUMIF(aralık!$A$4:$D$13,L6,aralık!$D$4:$D$13)+SUMIF(aralık!Q8:T17,L6,aralık!T8:T17)+SUMIF(aralık!V8:Y17,L6,aralık!Y8:Y17)+SUMIF(aralık!AA8:AD17,L6,aralık!AD8:AD17)</f>
        <v>0</v>
      </c>
      <c r="P6" s="17">
        <f t="shared" ca="1" si="1"/>
        <v>0</v>
      </c>
      <c r="Q6" t="str">
        <f t="shared" ca="1" si="0"/>
        <v>İZİN VERİLDİ</v>
      </c>
    </row>
    <row r="7" spans="1:17">
      <c r="A7" s="6" t="str">
        <f>'s2'!A7</f>
        <v>HAKLI</v>
      </c>
      <c r="B7" s="6" t="str">
        <f>'s2'!B7</f>
        <v>Elif</v>
      </c>
      <c r="C7" s="7">
        <f ca="1">SUMIF(ocak!$A$4:$D$13,A7,ocak!$D$4:$D$13)+SUMIF(ocak!F9:I18,A7,ocak!I9:I18)+SUMIF(ocak!K9:N18,A7,ocak!N9:N18)+SUMIF(ocak!P9:S18,A7,ocak!S9:S18)</f>
        <v>0</v>
      </c>
      <c r="D7" s="7">
        <f ca="1">SUMIF(subat!$A$4:$D$13,B7,subat!$D$4:$D$13)+SUMIF(subat!G9:J18,B7,subat!J9:J18)+SUMIF(subat!L9:O18,B7,subat!O9:O18)+SUMIF(subat!Q9:T18,B7,subat!T9:T18)</f>
        <v>0</v>
      </c>
      <c r="E7" s="7">
        <f ca="1">SUMIF(mart!$A$4:$D$13,C7,mart!$D$4:$D$13)+SUMIF(mart!H9:K18,C7,mart!K9:K18)+SUMIF(mart!M9:P18,C7,mart!P9:P18)+SUMIF(mart!R9:U18,C7,mart!U9:U18)</f>
        <v>0</v>
      </c>
      <c r="F7" s="7">
        <f ca="1">SUMIF(nısan!$A$4:$D$13,D7,nısan!$D$4:$D$13)+SUMIF(nısan!I9:L18,D7,nısan!L9:L18)+SUMIF(nısan!N9:Q18,D7,nısan!Q9:Q18)+SUMIF(nısan!S9:V18,D7,nısan!V9:V18)</f>
        <v>0</v>
      </c>
      <c r="G7" s="7">
        <f ca="1">SUMIF(mayıs!$A$4:$D$13,E7,mayıs!$D$4:$D$13)+SUMIF(mayıs!J9:M18,E7,mayıs!M9:M18)+SUMIF(mayıs!O9:R18,E7,mayıs!R9:R18)+SUMIF(mayıs!T9:W18,E7,mayıs!W9:W18)</f>
        <v>0</v>
      </c>
      <c r="H7" s="7">
        <f ca="1">SUMIF(hazıran!$A$4:$D$13,F7,hazıran!$D$4:$D$13)+SUMIF(hazıran!K9:N18,F7,hazıran!N9:N18)+SUMIF(hazıran!P9:S18,F7,hazıran!S9:S18)+SUMIF(hazıran!U9:X18,F7,hazıran!X9:X18)</f>
        <v>0</v>
      </c>
      <c r="I7" s="7">
        <f ca="1">SUMIF(temmuz!$A$4:$D$13,G7,temmuz!$D$4:$D$13)+SUMIF(temmuz!L9:O18,G7,temmuz!O9:O18)+SUMIF(temmuz!Q9:T18,G7,temmuz!T9:T18)+SUMIF(temmuz!V9:Y18,G7,temmuz!Y9:Y18)</f>
        <v>0</v>
      </c>
      <c r="J7" s="7">
        <f ca="1">SUMIF(agustos!$A$4:$D$13,H7,agustos!$D$4:$D$13)+SUMIF(agustos!M9:P18,H7,agustos!P9:P18)+SUMIF(agustos!R9:U18,H7,agustos!U9:U18)+SUMIF(agustos!W9:Z18,H7,agustos!Z9:Z18)</f>
        <v>0</v>
      </c>
      <c r="K7" s="7">
        <f ca="1">SUMIF(eylul!$A$4:$D$13,I7,eylul!$D$4:$D$13)+SUMIF(eylul!N9:Q18,I7,eylul!Q9:Q18)+SUMIF(eylul!S9:V18,I7,eylul!V9:V18)+SUMIF(eylul!X9:AA18,I7,eylul!AA9:AA18)</f>
        <v>0</v>
      </c>
      <c r="L7" s="7">
        <f ca="1">SUMIF(ekım!$A$4:$D$13,J7,ekım!$D$4:$D$13)+SUMIF(ekım!O9:R18,J7,ekım!R9:R18)+SUMIF(ekım!T9:W18,J7,ekım!W9:W18)+SUMIF(ekım!Y9:AB18,J7,ekım!AB9:AB18)</f>
        <v>0</v>
      </c>
      <c r="M7" s="7">
        <f ca="1">SUMIF(kasım!$A$4:$D$13,K7,kasım!$D$4:$D$13)+SUMIF(kasım!P9:S18,K7,kasım!S9:S18)+SUMIF(kasım!U9:X18,K7,kasım!X9:X18)+SUMIF(kasım!Z9:AC18,K7,kasım!AC9:AC18)</f>
        <v>0</v>
      </c>
      <c r="N7" s="7">
        <f ca="1">SUMIF(aralık!$A$4:$D$13,L7,aralık!$D$4:$D$13)+SUMIF(aralık!Q9:T18,L7,aralık!T9:T18)+SUMIF(aralık!V9:Y18,L7,aralık!Y9:Y18)+SUMIF(aralık!AA9:AD18,L7,aralık!AD9:AD18)</f>
        <v>0</v>
      </c>
      <c r="P7" s="17">
        <f t="shared" ca="1" si="1"/>
        <v>0</v>
      </c>
      <c r="Q7" t="str">
        <f t="shared" ca="1" si="0"/>
        <v>İZİN VERİLDİ</v>
      </c>
    </row>
    <row r="8" spans="1:17">
      <c r="A8" s="6" t="str">
        <f>'s2'!A8</f>
        <v>USLU</v>
      </c>
      <c r="B8" s="6" t="str">
        <f>'s2'!B8</f>
        <v>Merve</v>
      </c>
      <c r="C8" s="7">
        <f ca="1">SUMIF(ocak!$A$4:$D$13,A8,ocak!$D$4:$D$13)+SUMIF(ocak!F10:I19,A8,ocak!I10:I19)+SUMIF(ocak!K10:N19,A8,ocak!N10:N19)+SUMIF(ocak!P10:S19,A8,ocak!S10:S19)</f>
        <v>0</v>
      </c>
      <c r="D8" s="7">
        <f ca="1">SUMIF(subat!$A$4:$D$13,B8,subat!$D$4:$D$13)+SUMIF(subat!G10:J19,B8,subat!J10:J19)+SUMIF(subat!L10:O19,B8,subat!O10:O19)+SUMIF(subat!Q10:T19,B8,subat!T10:T19)</f>
        <v>0</v>
      </c>
      <c r="E8" s="7">
        <f ca="1">SUMIF(mart!$A$4:$D$13,C8,mart!$D$4:$D$13)+SUMIF(mart!H10:K19,C8,mart!K10:K19)+SUMIF(mart!M10:P19,C8,mart!P10:P19)+SUMIF(mart!R10:U19,C8,mart!U10:U19)</f>
        <v>0</v>
      </c>
      <c r="F8" s="7">
        <f ca="1">SUMIF(nısan!$A$4:$D$13,D8,nısan!$D$4:$D$13)+SUMIF(nısan!I10:L19,D8,nısan!L10:L19)+SUMIF(nısan!N10:Q19,D8,nısan!Q10:Q19)+SUMIF(nısan!S10:V19,D8,nısan!V10:V19)</f>
        <v>0</v>
      </c>
      <c r="G8" s="7">
        <f ca="1">SUMIF(mayıs!$A$4:$D$13,E8,mayıs!$D$4:$D$13)+SUMIF(mayıs!J10:M19,E8,mayıs!M10:M19)+SUMIF(mayıs!O10:R19,E8,mayıs!R10:R19)+SUMIF(mayıs!T10:W19,E8,mayıs!W10:W19)</f>
        <v>0</v>
      </c>
      <c r="H8" s="7">
        <f ca="1">SUMIF(hazıran!$A$4:$D$13,F8,hazıran!$D$4:$D$13)+SUMIF(hazıran!K10:N19,F8,hazıran!N10:N19)+SUMIF(hazıran!P10:S19,F8,hazıran!S10:S19)+SUMIF(hazıran!U10:X19,F8,hazıran!X10:X19)</f>
        <v>0</v>
      </c>
      <c r="I8" s="7">
        <f ca="1">SUMIF(temmuz!$A$4:$D$13,G8,temmuz!$D$4:$D$13)+SUMIF(temmuz!L10:O19,G8,temmuz!O10:O19)+SUMIF(temmuz!Q10:T19,G8,temmuz!T10:T19)+SUMIF(temmuz!V10:Y19,G8,temmuz!Y10:Y19)</f>
        <v>0</v>
      </c>
      <c r="J8" s="7">
        <f ca="1">SUMIF(agustos!$A$4:$D$13,H8,agustos!$D$4:$D$13)+SUMIF(agustos!M10:P19,H8,agustos!P10:P19)+SUMIF(agustos!R10:U19,H8,agustos!U10:U19)+SUMIF(agustos!W10:Z19,H8,agustos!Z10:Z19)</f>
        <v>0</v>
      </c>
      <c r="K8" s="7">
        <f ca="1">SUMIF(eylul!$A$4:$D$13,I8,eylul!$D$4:$D$13)+SUMIF(eylul!N10:Q19,I8,eylul!Q10:Q19)+SUMIF(eylul!S10:V19,I8,eylul!V10:V19)+SUMIF(eylul!X10:AA19,I8,eylul!AA10:AA19)</f>
        <v>0</v>
      </c>
      <c r="L8" s="7">
        <f ca="1">SUMIF(ekım!$A$4:$D$13,J8,ekım!$D$4:$D$13)+SUMIF(ekım!O10:R19,J8,ekım!R10:R19)+SUMIF(ekım!T10:W19,J8,ekım!W10:W19)+SUMIF(ekım!Y10:AB19,J8,ekım!AB10:AB19)</f>
        <v>0</v>
      </c>
      <c r="M8" s="7">
        <f ca="1">SUMIF(kasım!$A$4:$D$13,K8,kasım!$D$4:$D$13)+SUMIF(kasım!P10:S19,K8,kasım!S10:S19)+SUMIF(kasım!U10:X19,K8,kasım!X10:X19)+SUMIF(kasım!Z10:AC19,K8,kasım!AC10:AC19)</f>
        <v>0</v>
      </c>
      <c r="N8" s="7">
        <f ca="1">SUMIF(aralık!$A$4:$D$13,L8,aralık!$D$4:$D$13)+SUMIF(aralık!Q10:T19,L8,aralık!T10:T19)+SUMIF(aralık!V10:Y19,L8,aralık!Y10:Y19)+SUMIF(aralık!AA10:AD19,L8,aralık!AD10:AD19)</f>
        <v>0</v>
      </c>
      <c r="P8" s="17">
        <f t="shared" ca="1" si="1"/>
        <v>0</v>
      </c>
      <c r="Q8" t="str">
        <f t="shared" ca="1" si="0"/>
        <v>İZİN VERİLDİ</v>
      </c>
    </row>
    <row r="9" spans="1:17">
      <c r="A9" s="6" t="str">
        <f>'s2'!A9</f>
        <v>KOKSAL</v>
      </c>
      <c r="B9" s="6" t="str">
        <f>'s2'!B9</f>
        <v>Gülizar</v>
      </c>
      <c r="C9" s="7">
        <f ca="1">SUMIF(ocak!$A$4:$D$13,A9,ocak!$D$4:$D$13)+SUMIF(ocak!F11:I20,A9,ocak!I11:I20)+SUMIF(ocak!K11:N20,A9,ocak!N11:N20)+SUMIF(ocak!P11:S20,A9,ocak!S11:S20)</f>
        <v>2</v>
      </c>
      <c r="D9" s="7">
        <f ca="1">SUMIF(subat!$A$4:$D$13,B9,subat!$D$4:$D$13)+SUMIF(subat!G11:J20,B9,subat!J11:J20)+SUMIF(subat!L11:O20,B9,subat!O11:O20)+SUMIF(subat!Q11:T20,B9,subat!T11:T20)</f>
        <v>0</v>
      </c>
      <c r="E9" s="7">
        <f ca="1">SUMIF(mart!$A$4:$D$13,C9,mart!$D$4:$D$13)+SUMIF(mart!H11:K20,C9,mart!K11:K20)+SUMIF(mart!M11:P20,C9,mart!P11:P20)+SUMIF(mart!R11:U20,C9,mart!U11:U20)</f>
        <v>0</v>
      </c>
      <c r="F9" s="7">
        <f ca="1">SUMIF(nısan!$A$4:$D$13,D9,nısan!$D$4:$D$13)+SUMIF(nısan!I11:L20,D9,nısan!L11:L20)+SUMIF(nısan!N11:Q20,D9,nısan!Q11:Q20)+SUMIF(nısan!S11:V20,D9,nısan!V11:V20)</f>
        <v>0</v>
      </c>
      <c r="G9" s="7">
        <f ca="1">SUMIF(mayıs!$A$4:$D$13,E9,mayıs!$D$4:$D$13)+SUMIF(mayıs!J11:M20,E9,mayıs!M11:M20)+SUMIF(mayıs!O11:R20,E9,mayıs!R11:R20)+SUMIF(mayıs!T11:W20,E9,mayıs!W11:W20)</f>
        <v>0</v>
      </c>
      <c r="H9" s="7">
        <f ca="1">SUMIF(hazıran!$A$4:$D$13,F9,hazıran!$D$4:$D$13)+SUMIF(hazıran!K11:N20,F9,hazıran!N11:N20)+SUMIF(hazıran!P11:S20,F9,hazıran!S11:S20)+SUMIF(hazıran!U11:X20,F9,hazıran!X11:X20)</f>
        <v>0</v>
      </c>
      <c r="I9" s="7">
        <f ca="1">SUMIF(temmuz!$A$4:$D$13,G9,temmuz!$D$4:$D$13)+SUMIF(temmuz!L11:O20,G9,temmuz!O11:O20)+SUMIF(temmuz!Q11:T20,G9,temmuz!T11:T20)+SUMIF(temmuz!V11:Y20,G9,temmuz!Y11:Y20)</f>
        <v>0</v>
      </c>
      <c r="J9" s="7">
        <f ca="1">SUMIF(agustos!$A$4:$D$13,H9,agustos!$D$4:$D$13)+SUMIF(agustos!M11:P20,H9,agustos!P11:P20)+SUMIF(agustos!R11:U20,H9,agustos!U11:U20)+SUMIF(agustos!W11:Z20,H9,agustos!Z11:Z20)</f>
        <v>0</v>
      </c>
      <c r="K9" s="7">
        <f ca="1">SUMIF(eylul!$A$4:$D$13,I9,eylul!$D$4:$D$13)+SUMIF(eylul!N11:Q20,I9,eylul!Q11:Q20)+SUMIF(eylul!S11:V20,I9,eylul!V11:V20)+SUMIF(eylul!X11:AA20,I9,eylul!AA11:AA20)</f>
        <v>0</v>
      </c>
      <c r="L9" s="7">
        <f ca="1">SUMIF(ekım!$A$4:$D$13,J9,ekım!$D$4:$D$13)+SUMIF(ekım!O11:R20,J9,ekım!R11:R20)+SUMIF(ekım!T11:W20,J9,ekım!W11:W20)+SUMIF(ekım!Y11:AB20,J9,ekım!AB11:AB20)</f>
        <v>0</v>
      </c>
      <c r="M9" s="7">
        <f ca="1">SUMIF(kasım!$A$4:$D$13,K9,kasım!$D$4:$D$13)+SUMIF(kasım!P11:S20,K9,kasım!S11:S20)+SUMIF(kasım!U11:X20,K9,kasım!X11:X20)+SUMIF(kasım!Z11:AC20,K9,kasım!AC11:AC20)</f>
        <v>0</v>
      </c>
      <c r="N9" s="7">
        <f ca="1">SUMIF(aralık!$A$4:$D$13,L9,aralık!$D$4:$D$13)+SUMIF(aralık!Q11:T20,L9,aralık!T11:T20)+SUMIF(aralık!V11:Y20,L9,aralık!Y11:Y20)+SUMIF(aralık!AA11:AD20,L9,aralık!AD11:AD20)</f>
        <v>0</v>
      </c>
      <c r="P9" s="17">
        <f t="shared" ca="1" si="1"/>
        <v>2</v>
      </c>
      <c r="Q9" t="str">
        <f t="shared" ca="1" si="0"/>
        <v>İZİN VERİLDİ</v>
      </c>
    </row>
    <row r="11" spans="1:17">
      <c r="A11" t="s">
        <v>77</v>
      </c>
    </row>
    <row r="12" spans="1:17">
      <c r="A12" t="s">
        <v>61</v>
      </c>
    </row>
    <row r="13" spans="1:17">
      <c r="A13" t="s">
        <v>69</v>
      </c>
    </row>
    <row r="14" spans="1:17">
      <c r="A14" t="s">
        <v>62</v>
      </c>
    </row>
    <row r="15" spans="1:17">
      <c r="A15" t="s">
        <v>70</v>
      </c>
    </row>
    <row r="16" spans="1:17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71</v>
      </c>
    </row>
    <row r="20" spans="1:1">
      <c r="A20" t="s">
        <v>72</v>
      </c>
    </row>
    <row r="21" spans="1:1">
      <c r="A21" t="s">
        <v>66</v>
      </c>
    </row>
    <row r="22" spans="1:1">
      <c r="A22" t="s">
        <v>67</v>
      </c>
    </row>
    <row r="23" spans="1:1">
      <c r="A23" t="s">
        <v>68</v>
      </c>
    </row>
  </sheetData>
  <pageMargins left="0.7" right="0.7" top="0.75" bottom="0.75" header="0.3" footer="0.3"/>
  <legacyDrawing r:id="rId1"/>
  <controls>
    <control shapeId="32769" r:id="rId2" name="CommandButton1"/>
    <control shapeId="32770" r:id="rId3" name="CommandButton2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ayfa11"/>
  <dimension ref="A1:R15"/>
  <sheetViews>
    <sheetView showGridLines="0" showRowColHeaders="0" workbookViewId="0">
      <selection activeCell="F24" sqref="F24"/>
    </sheetView>
  </sheetViews>
  <sheetFormatPr defaultRowHeight="15"/>
  <cols>
    <col min="1" max="1" width="15.5703125" customWidth="1"/>
    <col min="2" max="2" width="10.28515625" customWidth="1"/>
    <col min="3" max="3" width="11.140625" customWidth="1"/>
    <col min="4" max="4" width="9.140625" customWidth="1"/>
    <col min="7" max="7" width="11.5703125" customWidth="1"/>
  </cols>
  <sheetData>
    <row r="1" spans="1:18">
      <c r="C1" t="s">
        <v>53</v>
      </c>
      <c r="J1" t="s">
        <v>54</v>
      </c>
      <c r="Q1" t="s">
        <v>46</v>
      </c>
      <c r="R1" t="s">
        <v>28</v>
      </c>
    </row>
    <row r="2" spans="1:18">
      <c r="A2" s="14"/>
      <c r="B2" s="14"/>
      <c r="C2" s="14" t="s">
        <v>29</v>
      </c>
      <c r="D2" s="14" t="s">
        <v>47</v>
      </c>
      <c r="E2" s="14" t="s">
        <v>48</v>
      </c>
      <c r="F2" s="14" t="s">
        <v>49</v>
      </c>
      <c r="G2" s="14" t="s">
        <v>50</v>
      </c>
      <c r="H2" s="14" t="s">
        <v>55</v>
      </c>
      <c r="I2" s="14" t="s">
        <v>52</v>
      </c>
      <c r="J2" s="14" t="s">
        <v>29</v>
      </c>
      <c r="K2" s="14" t="s">
        <v>47</v>
      </c>
      <c r="L2" s="14" t="s">
        <v>48</v>
      </c>
      <c r="M2" s="14" t="s">
        <v>49</v>
      </c>
      <c r="N2" s="14" t="s">
        <v>50</v>
      </c>
      <c r="O2" s="14" t="s">
        <v>51</v>
      </c>
      <c r="P2" s="14" t="s">
        <v>52</v>
      </c>
    </row>
    <row r="3" spans="1:18">
      <c r="A3" s="14" t="str">
        <f>'s2'!A2</f>
        <v>SAGLAM</v>
      </c>
      <c r="B3" s="14" t="str">
        <f>'s2'!B2</f>
        <v>Dilek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>
        <f>SUM(C3:I3)</f>
        <v>0</v>
      </c>
      <c r="R3">
        <f>SUM(D3:J3)</f>
        <v>0</v>
      </c>
    </row>
    <row r="4" spans="1:18">
      <c r="A4" s="14" t="str">
        <f>'s2'!A3</f>
        <v>OKLU</v>
      </c>
      <c r="B4" s="14" t="str">
        <f>'s2'!B3</f>
        <v>Ayhan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>
        <f t="shared" ref="Q4:Q14" si="0">SUM(C4:I4)</f>
        <v>0</v>
      </c>
      <c r="R4">
        <f t="shared" ref="R4:R14" si="1">SUM(D4:J4)</f>
        <v>0</v>
      </c>
    </row>
    <row r="5" spans="1:18">
      <c r="A5" s="14" t="str">
        <f>'s2'!A4</f>
        <v>USTA</v>
      </c>
      <c r="B5" s="14" t="str">
        <f>'s2'!B4</f>
        <v>Meryem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>
        <f t="shared" si="0"/>
        <v>0</v>
      </c>
      <c r="R5">
        <f t="shared" si="1"/>
        <v>0</v>
      </c>
    </row>
    <row r="6" spans="1:18">
      <c r="A6" s="14" t="str">
        <f>'s2'!A5</f>
        <v>CETIN</v>
      </c>
      <c r="B6" s="14" t="str">
        <f>'s2'!B5</f>
        <v>Hacer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>
        <f t="shared" si="0"/>
        <v>0</v>
      </c>
      <c r="R6">
        <f t="shared" si="1"/>
        <v>0</v>
      </c>
    </row>
    <row r="7" spans="1:18">
      <c r="A7" s="14" t="str">
        <f>'s2'!A6</f>
        <v>SERT</v>
      </c>
      <c r="B7" s="14" t="str">
        <f>'s2'!B6</f>
        <v>Hanım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>
        <f t="shared" si="0"/>
        <v>0</v>
      </c>
      <c r="R7">
        <f t="shared" si="1"/>
        <v>0</v>
      </c>
    </row>
    <row r="8" spans="1:18">
      <c r="A8" s="14" t="str">
        <f>'s2'!A7</f>
        <v>HAKLI</v>
      </c>
      <c r="B8" s="14" t="str">
        <f>'s2'!B7</f>
        <v>Elif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>
        <f t="shared" si="0"/>
        <v>0</v>
      </c>
      <c r="R8">
        <f t="shared" si="1"/>
        <v>0</v>
      </c>
    </row>
    <row r="9" spans="1:18">
      <c r="A9" s="14" t="str">
        <f>'s2'!A8</f>
        <v>USLU</v>
      </c>
      <c r="B9" s="14" t="str">
        <f>'s2'!B8</f>
        <v>Merve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>
        <f t="shared" si="0"/>
        <v>0</v>
      </c>
      <c r="R9">
        <f t="shared" si="1"/>
        <v>0</v>
      </c>
    </row>
    <row r="10" spans="1:18">
      <c r="A10" s="14" t="str">
        <f>'s2'!A9</f>
        <v>KOKSAL</v>
      </c>
      <c r="B10" s="14" t="str">
        <f>'s2'!B9</f>
        <v>Gülizar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>
        <f t="shared" si="0"/>
        <v>0</v>
      </c>
      <c r="R10">
        <f t="shared" si="1"/>
        <v>0</v>
      </c>
    </row>
    <row r="11" spans="1:18">
      <c r="A11" s="14" t="str">
        <f>'s2'!A10</f>
        <v>PEKSOY</v>
      </c>
      <c r="B11" s="14" t="str">
        <f>'s2'!B10</f>
        <v>İlknur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>
        <f t="shared" si="0"/>
        <v>0</v>
      </c>
      <c r="R11">
        <f t="shared" si="1"/>
        <v>0</v>
      </c>
    </row>
    <row r="12" spans="1:18">
      <c r="A12" s="14" t="str">
        <f>'s2'!A11</f>
        <v>ULU</v>
      </c>
      <c r="B12" s="14" t="str">
        <f>'s2'!B11</f>
        <v>Şeyda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>
        <f t="shared" si="0"/>
        <v>0</v>
      </c>
      <c r="R12">
        <f t="shared" si="1"/>
        <v>0</v>
      </c>
    </row>
    <row r="13" spans="1:18">
      <c r="A13" s="14" t="str">
        <f>'s2'!A12</f>
        <v>KAHYA</v>
      </c>
      <c r="B13" s="14" t="str">
        <f>'s2'!B12</f>
        <v>Kübra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>
        <f t="shared" si="0"/>
        <v>0</v>
      </c>
      <c r="R13">
        <f t="shared" si="1"/>
        <v>0</v>
      </c>
    </row>
    <row r="14" spans="1:18">
      <c r="A14" s="14" t="str">
        <f>'s2'!A13</f>
        <v>MEKIK</v>
      </c>
      <c r="B14" s="14" t="str">
        <f>'s2'!B13</f>
        <v>Esra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>
        <f t="shared" si="0"/>
        <v>0</v>
      </c>
      <c r="R14">
        <f t="shared" si="1"/>
        <v>0</v>
      </c>
    </row>
    <row r="15" spans="1:18">
      <c r="A15" t="s">
        <v>60</v>
      </c>
      <c r="C15">
        <f>SUM(C3:C14)</f>
        <v>0</v>
      </c>
      <c r="D15">
        <f t="shared" ref="D15:P15" si="2">SUM(D3:D14)</f>
        <v>0</v>
      </c>
      <c r="E15">
        <f t="shared" si="2"/>
        <v>0</v>
      </c>
      <c r="F15">
        <f t="shared" si="2"/>
        <v>0</v>
      </c>
      <c r="G15">
        <f t="shared" si="2"/>
        <v>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>
        <f t="shared" si="2"/>
        <v>0</v>
      </c>
      <c r="N15">
        <f t="shared" si="2"/>
        <v>0</v>
      </c>
      <c r="O15">
        <f t="shared" si="2"/>
        <v>0</v>
      </c>
      <c r="P15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ayfa2"/>
  <dimension ref="A1:T18"/>
  <sheetViews>
    <sheetView showGridLines="0" showRowColHeaders="0" workbookViewId="0">
      <selection activeCell="F24" sqref="F24"/>
    </sheetView>
  </sheetViews>
  <sheetFormatPr defaultRowHeight="15"/>
  <cols>
    <col min="2" max="2" width="22.5703125" customWidth="1"/>
    <col min="3" max="3" width="25.28515625" customWidth="1"/>
    <col min="7" max="7" width="22.140625" customWidth="1"/>
    <col min="8" max="8" width="21.5703125" customWidth="1"/>
    <col min="11" max="11" width="10.140625" customWidth="1"/>
    <col min="12" max="12" width="21.7109375" customWidth="1"/>
    <col min="13" max="13" width="24.5703125" customWidth="1"/>
    <col min="16" max="16" width="14.140625" customWidth="1"/>
    <col min="17" max="17" width="23.28515625" customWidth="1"/>
    <col min="18" max="18" width="28.42578125" customWidth="1"/>
    <col min="19" max="19" width="12" customWidth="1"/>
  </cols>
  <sheetData>
    <row r="1" spans="1:20">
      <c r="A1" s="17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ht="29.25" customHeight="1">
      <c r="A3" s="6" t="s">
        <v>10</v>
      </c>
      <c r="B3" s="15" t="s">
        <v>11</v>
      </c>
      <c r="C3" s="15" t="s">
        <v>12</v>
      </c>
      <c r="D3" s="15" t="s">
        <v>13</v>
      </c>
      <c r="F3" s="16"/>
      <c r="G3" s="18"/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  <c r="K3" s="16"/>
      <c r="L3" s="18"/>
      <c r="M3" s="18"/>
      <c r="N3" s="18"/>
      <c r="O3" s="16"/>
      <c r="P3" s="16"/>
      <c r="Q3" s="18"/>
      <c r="R3" s="18"/>
      <c r="S3" s="18"/>
      <c r="T3" s="16"/>
    </row>
    <row r="4" spans="1:20">
      <c r="A4" s="6" t="s">
        <v>43</v>
      </c>
      <c r="B4" s="12">
        <v>40199</v>
      </c>
      <c r="C4" s="12">
        <f t="shared" ref="C4:C13" si="0">SUM(B4,D4)</f>
        <v>40201</v>
      </c>
      <c r="D4" s="7">
        <v>2</v>
      </c>
      <c r="F4" s="16"/>
      <c r="G4" s="19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  <c r="K4" s="16"/>
      <c r="L4" s="19"/>
      <c r="M4" s="19"/>
      <c r="N4" s="16"/>
      <c r="O4" s="16"/>
      <c r="P4" s="16"/>
      <c r="Q4" s="19"/>
      <c r="R4" s="19"/>
      <c r="S4" s="16"/>
      <c r="T4" s="16"/>
    </row>
    <row r="5" spans="1:20">
      <c r="A5" s="6" t="s">
        <v>45</v>
      </c>
      <c r="B5" s="12">
        <v>40192</v>
      </c>
      <c r="C5" s="12">
        <f t="shared" si="0"/>
        <v>40193</v>
      </c>
      <c r="D5" s="7">
        <v>1</v>
      </c>
      <c r="F5" s="16"/>
      <c r="G5" s="19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  <c r="K5" s="16"/>
      <c r="L5" s="19"/>
      <c r="M5" s="19"/>
      <c r="N5" s="16"/>
      <c r="O5" s="16"/>
      <c r="P5" s="16"/>
      <c r="Q5" s="19"/>
      <c r="R5" s="19"/>
      <c r="S5" s="16"/>
      <c r="T5" s="16"/>
    </row>
    <row r="6" spans="1:20">
      <c r="A6" s="6"/>
      <c r="B6" s="12"/>
      <c r="C6" s="12">
        <f t="shared" si="0"/>
        <v>0</v>
      </c>
      <c r="D6" s="7"/>
      <c r="F6" s="16"/>
      <c r="G6" s="19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  <c r="K6" s="16"/>
      <c r="L6" s="19"/>
      <c r="M6" s="19"/>
      <c r="N6" s="16"/>
      <c r="O6" s="16"/>
      <c r="P6" s="16"/>
      <c r="Q6" s="19"/>
      <c r="R6" s="19"/>
      <c r="S6" s="16"/>
      <c r="T6" s="16"/>
    </row>
    <row r="7" spans="1:20">
      <c r="A7" s="6"/>
      <c r="B7" s="12"/>
      <c r="C7" s="12">
        <f t="shared" si="0"/>
        <v>0</v>
      </c>
      <c r="D7" s="7"/>
      <c r="F7" s="16"/>
      <c r="G7" s="19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  <c r="K7" s="16"/>
      <c r="L7" s="19"/>
      <c r="M7" s="19"/>
      <c r="N7" s="16"/>
      <c r="O7" s="16"/>
      <c r="P7" s="16"/>
      <c r="Q7" s="19"/>
      <c r="R7" s="19"/>
      <c r="S7" s="16"/>
      <c r="T7" s="16"/>
    </row>
    <row r="8" spans="1:20">
      <c r="A8" s="6"/>
      <c r="B8" s="12"/>
      <c r="C8" s="12">
        <f t="shared" si="0"/>
        <v>0</v>
      </c>
      <c r="D8" s="7"/>
      <c r="F8" s="16"/>
      <c r="G8" s="19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  <c r="K8" s="16"/>
      <c r="L8" s="19"/>
      <c r="M8" s="19"/>
      <c r="N8" s="16"/>
      <c r="O8" s="16"/>
      <c r="P8" s="16"/>
      <c r="Q8" s="19"/>
      <c r="R8" s="19"/>
      <c r="S8" s="16"/>
      <c r="T8" s="16"/>
    </row>
    <row r="9" spans="1:20">
      <c r="A9" s="6"/>
      <c r="B9" s="12"/>
      <c r="C9" s="12">
        <f t="shared" si="0"/>
        <v>0</v>
      </c>
      <c r="D9" s="7"/>
      <c r="F9" s="16"/>
      <c r="G9" s="19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  <c r="K9" s="16"/>
      <c r="L9" s="19"/>
      <c r="M9" s="19"/>
      <c r="N9" s="16"/>
      <c r="O9" s="16"/>
      <c r="P9" s="16"/>
      <c r="Q9" s="19"/>
      <c r="R9" s="19"/>
      <c r="S9" s="16"/>
      <c r="T9" s="16"/>
    </row>
    <row r="10" spans="1:20">
      <c r="A10" s="6"/>
      <c r="B10" s="12"/>
      <c r="C10" s="12">
        <f t="shared" si="0"/>
        <v>0</v>
      </c>
      <c r="D10" s="7"/>
      <c r="F10" s="16"/>
      <c r="G10" s="19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  <c r="K10" s="16"/>
      <c r="L10" s="19"/>
      <c r="M10" s="19"/>
      <c r="N10" s="16"/>
      <c r="O10" s="16"/>
      <c r="P10" s="16"/>
      <c r="Q10" s="19"/>
      <c r="R10" s="19"/>
      <c r="S10" s="16"/>
      <c r="T10" s="16"/>
    </row>
    <row r="11" spans="1:20">
      <c r="A11" s="6"/>
      <c r="B11" s="12"/>
      <c r="C11" s="12">
        <f t="shared" si="0"/>
        <v>0</v>
      </c>
      <c r="D11" s="7"/>
      <c r="F11" s="16"/>
      <c r="G11" s="19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  <c r="K11" s="16"/>
      <c r="L11" s="19"/>
      <c r="M11" s="19"/>
      <c r="N11" s="16"/>
      <c r="O11" s="16"/>
      <c r="P11" s="16"/>
      <c r="Q11" s="19"/>
      <c r="R11" s="19"/>
      <c r="S11" s="16"/>
      <c r="T11" s="16"/>
    </row>
    <row r="12" spans="1:20">
      <c r="A12" s="6"/>
      <c r="B12" s="12"/>
      <c r="C12" s="12">
        <f t="shared" si="0"/>
        <v>0</v>
      </c>
      <c r="D12" s="7"/>
      <c r="F12" s="16"/>
      <c r="G12" s="19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  <c r="K12" s="16"/>
      <c r="L12" s="19"/>
      <c r="M12" s="19"/>
      <c r="N12" s="16"/>
      <c r="O12" s="16"/>
      <c r="P12" s="16"/>
      <c r="Q12" s="19"/>
      <c r="R12" s="19"/>
      <c r="S12" s="16"/>
      <c r="T12" s="16"/>
    </row>
    <row r="13" spans="1:20">
      <c r="A13" s="6"/>
      <c r="B13" s="12"/>
      <c r="C13" s="12">
        <f t="shared" si="0"/>
        <v>0</v>
      </c>
      <c r="D13" s="7"/>
      <c r="F13" s="16"/>
      <c r="G13" s="19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  <c r="K13" s="16"/>
      <c r="L13" s="19"/>
      <c r="M13" s="19"/>
      <c r="N13" s="16"/>
      <c r="O13" s="16"/>
      <c r="P13" s="16"/>
      <c r="Q13" s="19"/>
      <c r="R13" s="19"/>
      <c r="S13" s="16"/>
      <c r="T13" s="16"/>
    </row>
    <row r="14" spans="1:20">
      <c r="B14" s="9"/>
      <c r="F14" s="16"/>
      <c r="G14" s="16"/>
      <c r="H14" s="18"/>
      <c r="I14" s="18"/>
      <c r="J14" s="16"/>
      <c r="K14" s="16"/>
      <c r="L14" s="16"/>
      <c r="M14" s="16"/>
      <c r="N14" s="16"/>
      <c r="O14" s="16"/>
      <c r="P14" s="16"/>
      <c r="Q14" s="20"/>
      <c r="R14" s="16"/>
      <c r="S14" s="16"/>
      <c r="T14" s="16"/>
    </row>
    <row r="15" spans="1:20">
      <c r="F15" s="16"/>
      <c r="G15" s="16"/>
      <c r="H15" s="18"/>
      <c r="I15" s="18"/>
      <c r="J15" s="16"/>
      <c r="K15" s="16"/>
      <c r="L15" s="16"/>
      <c r="M15" s="16"/>
      <c r="N15" s="16"/>
      <c r="O15" s="16"/>
      <c r="P15" s="16"/>
      <c r="Q15" s="20"/>
      <c r="R15" s="16"/>
      <c r="S15" s="16"/>
      <c r="T15" s="16"/>
    </row>
    <row r="16" spans="1:20"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</row>
    <row r="17" spans="6:20"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</row>
    <row r="18" spans="6:20"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</row>
  </sheetData>
  <autoFilter ref="A3:D13"/>
  <pageMargins left="0.7" right="0.7" top="0.75" bottom="0.75" header="0.3" footer="0.3"/>
  <legacyDrawing r:id="rId1"/>
  <controls>
    <control shapeId="17414" r:id="rId2" name="CommandButton5"/>
    <control shapeId="17411" r:id="rId3" name="CommandButton3"/>
    <control shapeId="17409" r:id="rId4" name="CommandButton1"/>
    <control shapeId="17410" r:id="rId5" name="CommandButton2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ayfa12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18.7109375" customWidth="1"/>
    <col min="3" max="3" width="21.7109375" customWidth="1"/>
    <col min="4" max="4" width="20.42578125" customWidth="1"/>
  </cols>
  <sheetData>
    <row r="3" spans="1:10">
      <c r="A3" s="6" t="s">
        <v>10</v>
      </c>
      <c r="B3" s="15" t="s">
        <v>11</v>
      </c>
      <c r="C3" s="15" t="s">
        <v>12</v>
      </c>
      <c r="D3" s="15" t="s">
        <v>13</v>
      </c>
      <c r="H3" t="str">
        <f>'s2'!A3</f>
        <v>OKLU</v>
      </c>
      <c r="I3" t="str">
        <f>'s2'!B3</f>
        <v>Ayhan</v>
      </c>
      <c r="J3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t="str">
        <f>'s2'!A4</f>
        <v>USTA</v>
      </c>
      <c r="I4" t="str">
        <f>'s2'!B4</f>
        <v>Meryem</v>
      </c>
      <c r="J4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t="str">
        <f>'s2'!A5</f>
        <v>CETIN</v>
      </c>
      <c r="I5" t="str">
        <f>'s2'!B5</f>
        <v>Hacer</v>
      </c>
      <c r="J5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t="str">
        <f>'s2'!A6</f>
        <v>SERT</v>
      </c>
      <c r="I6" t="str">
        <f>'s2'!B6</f>
        <v>Hanım</v>
      </c>
      <c r="J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t="str">
        <f>'s2'!A7</f>
        <v>HAKLI</v>
      </c>
      <c r="I7" t="str">
        <f>'s2'!B7</f>
        <v>Elif</v>
      </c>
      <c r="J7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t="str">
        <f>'s2'!A8</f>
        <v>USLU</v>
      </c>
      <c r="I8" t="str">
        <f>'s2'!B8</f>
        <v>Merve</v>
      </c>
      <c r="J8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t="str">
        <f>'s2'!A9</f>
        <v>KOKSAL</v>
      </c>
      <c r="I9" t="str">
        <f>'s2'!B9</f>
        <v>Gülizar</v>
      </c>
      <c r="J9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t="str">
        <f>'s2'!A10</f>
        <v>PEKSOY</v>
      </c>
      <c r="I10" t="str">
        <f>'s2'!B10</f>
        <v>İlknur</v>
      </c>
      <c r="J10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t="str">
        <f>'s2'!A11</f>
        <v>ULU</v>
      </c>
      <c r="I11" t="str">
        <f>'s2'!B11</f>
        <v>Şeyda</v>
      </c>
      <c r="J11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t="str">
        <f>'s2'!A12</f>
        <v>KAHYA</v>
      </c>
      <c r="I12" t="str">
        <f>'s2'!B12</f>
        <v>Kübra</v>
      </c>
      <c r="J12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t="str">
        <f>'s2'!A13</f>
        <v>MEKIK</v>
      </c>
      <c r="I13" t="str">
        <f>'s2'!B13</f>
        <v>Esra</v>
      </c>
      <c r="J13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0482" r:id="rId2" name="CommandButton2"/>
    <control shapeId="20483" r:id="rId3" name="CommandButton1"/>
    <control shapeId="20484" r:id="rId4" name="CommandButton3"/>
    <control shapeId="20485" r:id="rId5" name="CommandButton4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ayfa13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3.140625" customWidth="1"/>
    <col min="3" max="3" width="21.710937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2529" r:id="rId2" name="CommandButton1"/>
    <control shapeId="22530" r:id="rId3" name="CommandButton2"/>
    <control shapeId="22531" r:id="rId4" name="CommandButton3"/>
    <control shapeId="22532" r:id="rId5" name="CommandButton4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ayfa14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7.85546875" customWidth="1"/>
    <col min="3" max="3" width="24.570312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 t="s">
        <v>42</v>
      </c>
      <c r="B4" s="12">
        <v>40290</v>
      </c>
      <c r="C4" s="12">
        <f t="shared" ref="C4:C13" si="0">SUM(B4,D4)</f>
        <v>40293</v>
      </c>
      <c r="D4" s="7">
        <v>3</v>
      </c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 t="s">
        <v>43</v>
      </c>
      <c r="B5" s="12">
        <v>40290</v>
      </c>
      <c r="C5" s="12">
        <f t="shared" si="0"/>
        <v>40292</v>
      </c>
      <c r="D5" s="7">
        <v>2</v>
      </c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3553" r:id="rId2" name="CommandButton1"/>
    <control shapeId="23554" r:id="rId3" name="CommandButton2"/>
    <control shapeId="23555" r:id="rId4" name="CommandButton3"/>
    <control shapeId="23556" r:id="rId5" name="CommandButton4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ayfa15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4.5703125" customWidth="1"/>
    <col min="3" max="3" width="24.710937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 t="s">
        <v>33</v>
      </c>
      <c r="B5" s="12">
        <v>40674</v>
      </c>
      <c r="C5" s="12">
        <f t="shared" si="0"/>
        <v>40677</v>
      </c>
      <c r="D5" s="7">
        <v>3</v>
      </c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4577" r:id="rId2" name="CommandButton1"/>
    <control shapeId="24578" r:id="rId3" name="CommandButton2"/>
    <control shapeId="24579" r:id="rId4" name="CommandButton3"/>
    <control shapeId="24580" r:id="rId5" name="CommandButton4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ayfa16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5.7109375" customWidth="1"/>
    <col min="3" max="3" width="24.4257812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/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ref="C5:C13" si="0">SUM(B5,D5)</f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5601" r:id="rId2" name="CommandButton1"/>
    <control shapeId="25602" r:id="rId3" name="CommandButton2"/>
    <control shapeId="25603" r:id="rId4" name="CommandButton3"/>
    <control shapeId="25604" r:id="rId5" name="CommandButton4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ayfa17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2.85546875" customWidth="1"/>
    <col min="3" max="3" width="27.42578125" customWidth="1"/>
    <col min="4" max="4" width="15" customWidth="1"/>
  </cols>
  <sheetData>
    <row r="3" spans="1:1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6625" r:id="rId2" name="CommandButton1"/>
    <control shapeId="26626" r:id="rId3" name="CommandButton2"/>
    <control shapeId="26627" r:id="rId4" name="CommandButton3"/>
    <control shapeId="26628" r:id="rId5" name="CommandButton4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ayfa18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4.140625" customWidth="1"/>
    <col min="3" max="3" width="26.4257812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7649" r:id="rId2" name="CommandButton1"/>
    <control shapeId="27650" r:id="rId3" name="CommandButton2"/>
    <control shapeId="27651" r:id="rId4" name="CommandButton3"/>
    <control shapeId="27652" r:id="rId5" name="CommandButton4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Sayfa19"/>
  <dimension ref="A3:J13"/>
  <sheetViews>
    <sheetView showGridLines="0" showRowColHeaders="0" topLeftCell="A2" workbookViewId="0">
      <selection activeCell="F24" sqref="F24"/>
    </sheetView>
  </sheetViews>
  <sheetFormatPr defaultRowHeight="15"/>
  <cols>
    <col min="2" max="2" width="26.7109375" customWidth="1"/>
    <col min="3" max="3" width="23.14062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8673" r:id="rId2" name="CommandButton1"/>
    <control shapeId="28674" r:id="rId3" name="CommandButton2"/>
    <control shapeId="28675" r:id="rId4" name="CommandButton3"/>
    <control shapeId="28676" r:id="rId5" name="CommandButton4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Sayfa20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5.140625" customWidth="1"/>
    <col min="3" max="3" width="22.710937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29697" r:id="rId2" name="CommandButton1"/>
    <control shapeId="29698" r:id="rId3" name="CommandButton2"/>
    <control shapeId="29699" r:id="rId4" name="CommandButton3"/>
    <control shapeId="29700" r:id="rId5" name="CommandButton4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ayfa21"/>
  <dimension ref="A3:J13"/>
  <sheetViews>
    <sheetView showGridLines="0" showRowColHeaders="0" workbookViewId="0">
      <selection activeCell="F24" sqref="F24"/>
    </sheetView>
  </sheetViews>
  <sheetFormatPr defaultRowHeight="15"/>
  <cols>
    <col min="2" max="2" width="25.42578125" customWidth="1"/>
    <col min="3" max="3" width="25.570312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30721" r:id="rId2" name="CommandButton1"/>
    <control shapeId="30722" r:id="rId3" name="CommandButton2"/>
    <control shapeId="30723" r:id="rId4" name="CommandButton3"/>
    <control shapeId="30724" r:id="rId5" name="CommandButton4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Sayfa22"/>
  <dimension ref="A3:J13"/>
  <sheetViews>
    <sheetView showGridLines="0" showRowColHeaders="0" workbookViewId="0">
      <selection activeCell="F24" sqref="F24"/>
    </sheetView>
  </sheetViews>
  <sheetFormatPr defaultRowHeight="15"/>
  <cols>
    <col min="1" max="1" width="10.28515625" customWidth="1"/>
    <col min="2" max="2" width="27.42578125" customWidth="1"/>
    <col min="3" max="3" width="26.7109375" customWidth="1"/>
    <col min="4" max="4" width="13.140625" customWidth="1"/>
  </cols>
  <sheetData>
    <row r="3" spans="1:10" ht="30">
      <c r="A3" s="6" t="s">
        <v>10</v>
      </c>
      <c r="B3" s="15" t="s">
        <v>11</v>
      </c>
      <c r="C3" s="15" t="s">
        <v>12</v>
      </c>
      <c r="D3" s="15" t="s">
        <v>13</v>
      </c>
      <c r="H3" s="18" t="str">
        <f>'s2'!A3</f>
        <v>OKLU</v>
      </c>
      <c r="I3" s="18" t="str">
        <f>'s2'!B3</f>
        <v>Ayhan</v>
      </c>
      <c r="J3" s="16">
        <f ca="1">SUMIF(ocak!$A$4:$D$13,H3,ocak!$D$4:$D$13)+SUMIF($F$4:$I$13,H3,$I$4:$I$13)+SUMIF($K$4:$N$13,H3,$N$4:$N$13)+SUMIF($P$4:$S$13,H3,$S$4:$S$13)</f>
        <v>0</v>
      </c>
    </row>
    <row r="4" spans="1:10">
      <c r="A4" s="6"/>
      <c r="B4" s="12"/>
      <c r="C4" s="12">
        <f t="shared" ref="C4:C13" si="0">SUM(B4,D4)</f>
        <v>0</v>
      </c>
      <c r="D4" s="7"/>
      <c r="H4" s="18" t="str">
        <f>'s2'!A4</f>
        <v>USTA</v>
      </c>
      <c r="I4" s="18" t="str">
        <f>'s2'!B4</f>
        <v>Meryem</v>
      </c>
      <c r="J4" s="16">
        <f ca="1">SUMIF(ocak!$A$4:$D$13,H4,ocak!$D$4:$D$13)+SUMIF($F$4:$I$13,H4,$I$4:$I$13)+SUMIF($K$4:$N$13,H4,$N$4:$N$13)+SUMIF($P$4:$S$13,H4,$S$4:$S$13)</f>
        <v>0</v>
      </c>
    </row>
    <row r="5" spans="1:10">
      <c r="A5" s="6"/>
      <c r="B5" s="12"/>
      <c r="C5" s="12">
        <f t="shared" si="0"/>
        <v>0</v>
      </c>
      <c r="D5" s="7"/>
      <c r="H5" s="18" t="str">
        <f>'s2'!A5</f>
        <v>CETIN</v>
      </c>
      <c r="I5" s="18" t="str">
        <f>'s2'!B5</f>
        <v>Hacer</v>
      </c>
      <c r="J5" s="16">
        <f ca="1">SUMIF(ocak!$A$4:$D$13,H5,ocak!$D$4:$D$13)+SUMIF($F$4:$I$13,H5,$I$4:$I$13)+SUMIF($K$4:$N$13,H5,$N$4:$N$13)+SUMIF($P$4:$S$13,H5,$S$4:$S$13)</f>
        <v>0</v>
      </c>
    </row>
    <row r="6" spans="1:10">
      <c r="A6" s="6"/>
      <c r="B6" s="12"/>
      <c r="C6" s="12">
        <f t="shared" si="0"/>
        <v>0</v>
      </c>
      <c r="D6" s="7"/>
      <c r="H6" s="18" t="str">
        <f>'s2'!A6</f>
        <v>SERT</v>
      </c>
      <c r="I6" s="18" t="str">
        <f>'s2'!B6</f>
        <v>Hanım</v>
      </c>
      <c r="J6" s="16">
        <f ca="1">SUMIF(ocak!$A$4:$D$13,H6,ocak!$D$4:$D$13)+SUMIF($F$4:$I$13,H6,$I$4:$I$13)+SUMIF($K$4:$N$13,H6,$N$4:$N$13)+SUMIF($P$4:$S$13,H6,$S$4:$S$13)</f>
        <v>0</v>
      </c>
    </row>
    <row r="7" spans="1:10">
      <c r="A7" s="6"/>
      <c r="B7" s="12"/>
      <c r="C7" s="12">
        <f t="shared" si="0"/>
        <v>0</v>
      </c>
      <c r="D7" s="7"/>
      <c r="H7" s="18" t="str">
        <f>'s2'!A7</f>
        <v>HAKLI</v>
      </c>
      <c r="I7" s="18" t="str">
        <f>'s2'!B7</f>
        <v>Elif</v>
      </c>
      <c r="J7" s="16">
        <f ca="1">SUMIF(ocak!$A$4:$D$13,H7,ocak!$D$4:$D$13)+SUMIF($F$4:$I$13,H7,$I$4:$I$13)+SUMIF($K$4:$N$13,H7,$N$4:$N$13)+SUMIF($P$4:$S$13,H7,$S$4:$S$13)</f>
        <v>0</v>
      </c>
    </row>
    <row r="8" spans="1:10">
      <c r="A8" s="6"/>
      <c r="B8" s="12"/>
      <c r="C8" s="12">
        <f t="shared" si="0"/>
        <v>0</v>
      </c>
      <c r="D8" s="7"/>
      <c r="H8" s="18" t="str">
        <f>'s2'!A8</f>
        <v>USLU</v>
      </c>
      <c r="I8" s="18" t="str">
        <f>'s2'!B8</f>
        <v>Merve</v>
      </c>
      <c r="J8" s="16">
        <f ca="1">SUMIF(ocak!$A$4:$D$13,H8,ocak!$D$4:$D$13)+SUMIF($F$4:$I$13,H8,$I$4:$I$13)+SUMIF($K$4:$N$13,H8,$N$4:$N$13)+SUMIF($P$4:$S$13,H8,$S$4:$S$13)</f>
        <v>0</v>
      </c>
    </row>
    <row r="9" spans="1:10">
      <c r="A9" s="6"/>
      <c r="B9" s="12"/>
      <c r="C9" s="12">
        <f t="shared" si="0"/>
        <v>0</v>
      </c>
      <c r="D9" s="7"/>
      <c r="H9" s="18" t="str">
        <f>'s2'!A9</f>
        <v>KOKSAL</v>
      </c>
      <c r="I9" s="18" t="str">
        <f>'s2'!B9</f>
        <v>Gülizar</v>
      </c>
      <c r="J9" s="16">
        <f ca="1">SUMIF(ocak!$A$4:$D$13,H9,ocak!$D$4:$D$13)+SUMIF($F$4:$I$13,H9,$I$4:$I$13)+SUMIF($K$4:$N$13,H9,$N$4:$N$13)+SUMIF($P$4:$S$13,H9,$S$4:$S$13)</f>
        <v>2</v>
      </c>
    </row>
    <row r="10" spans="1:10">
      <c r="A10" s="6"/>
      <c r="B10" s="12"/>
      <c r="C10" s="12">
        <f t="shared" si="0"/>
        <v>0</v>
      </c>
      <c r="D10" s="7"/>
      <c r="H10" s="18" t="str">
        <f>'s2'!A10</f>
        <v>PEKSOY</v>
      </c>
      <c r="I10" s="18" t="str">
        <f>'s2'!B10</f>
        <v>İlknur</v>
      </c>
      <c r="J10" s="16">
        <f ca="1">SUMIF(ocak!$A$4:$D$13,H10,ocak!$D$4:$D$13)+SUMIF($F$4:$I$13,H10,$I$4:$I$13)+SUMIF($K$4:$N$13,H10,$N$4:$N$13)+SUMIF($P$4:$S$13,H10,$S$4:$S$13)</f>
        <v>0</v>
      </c>
    </row>
    <row r="11" spans="1:10">
      <c r="A11" s="6"/>
      <c r="B11" s="12"/>
      <c r="C11" s="12">
        <f t="shared" si="0"/>
        <v>0</v>
      </c>
      <c r="D11" s="7"/>
      <c r="H11" s="18" t="str">
        <f>'s2'!A11</f>
        <v>ULU</v>
      </c>
      <c r="I11" s="18" t="str">
        <f>'s2'!B11</f>
        <v>Şeyda</v>
      </c>
      <c r="J11" s="16">
        <f ca="1">SUMIF(ocak!$A$4:$D$13,H11,ocak!$D$4:$D$13)+SUMIF($F$4:$I$13,H11,$I$4:$I$13)+SUMIF($K$4:$N$13,H11,$N$4:$N$13)+SUMIF($P$4:$S$13,H11,$S$4:$S$13)</f>
        <v>0</v>
      </c>
    </row>
    <row r="12" spans="1:10">
      <c r="A12" s="6"/>
      <c r="B12" s="12"/>
      <c r="C12" s="12">
        <f t="shared" si="0"/>
        <v>0</v>
      </c>
      <c r="D12" s="7"/>
      <c r="H12" s="18" t="str">
        <f>'s2'!A12</f>
        <v>KAHYA</v>
      </c>
      <c r="I12" s="18" t="str">
        <f>'s2'!B12</f>
        <v>Kübra</v>
      </c>
      <c r="J12" s="16">
        <f ca="1">SUMIF(ocak!$A$4:$D$13,H12,ocak!$D$4:$D$13)+SUMIF($F$4:$I$13,H12,$I$4:$I$13)+SUMIF($K$4:$N$13,H12,$N$4:$N$13)+SUMIF($P$4:$S$13,H12,$S$4:$S$13)</f>
        <v>0</v>
      </c>
    </row>
    <row r="13" spans="1:10">
      <c r="A13" s="6"/>
      <c r="B13" s="12"/>
      <c r="C13" s="12">
        <f t="shared" si="0"/>
        <v>0</v>
      </c>
      <c r="D13" s="7"/>
      <c r="H13" s="18" t="str">
        <f>'s2'!A13</f>
        <v>MEKIK</v>
      </c>
      <c r="I13" s="18" t="str">
        <f>'s2'!B13</f>
        <v>Esra</v>
      </c>
      <c r="J13" s="16">
        <f ca="1">SUMIF(ocak!$A$4:$D$13,H13,ocak!$D$4:$D$13)+SUMIF($F$4:$I$13,H13,$I$4:$I$13)+SUMIF($K$4:$N$13,H13,$N$4:$N$13)+SUMIF($P$4:$S$13,H13,$S$4:$S$13)</f>
        <v>1</v>
      </c>
    </row>
  </sheetData>
  <pageMargins left="0.7" right="0.7" top="0.75" bottom="0.75" header="0.3" footer="0.3"/>
  <legacyDrawing r:id="rId1"/>
  <controls>
    <control shapeId="31745" r:id="rId2" name="CommandButton1"/>
    <control shapeId="31746" r:id="rId3" name="CommandButton2"/>
    <control shapeId="31747" r:id="rId4" name="CommandButton3"/>
    <control shapeId="31748" r:id="rId5" name="CommandButton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8</vt:i4>
      </vt:variant>
    </vt:vector>
  </HeadingPairs>
  <TitlesOfParts>
    <vt:vector size="29" baseType="lpstr">
      <vt:lpstr>s8</vt:lpstr>
      <vt:lpstr>s6</vt:lpstr>
      <vt:lpstr>s2</vt:lpstr>
      <vt:lpstr>S9</vt:lpstr>
      <vt:lpstr>s1</vt:lpstr>
      <vt:lpstr>s3</vt:lpstr>
      <vt:lpstr>s11</vt:lpstr>
      <vt:lpstr>s10</vt:lpstr>
      <vt:lpstr>Sayfa1</vt:lpstr>
      <vt:lpstr>ocak</vt:lpstr>
      <vt:lpstr>subat</vt:lpstr>
      <vt:lpstr>mart</vt:lpstr>
      <vt:lpstr>nısan</vt:lpstr>
      <vt:lpstr>mayıs</vt:lpstr>
      <vt:lpstr>hazıran</vt:lpstr>
      <vt:lpstr>temmuz</vt:lpstr>
      <vt:lpstr>agustos</vt:lpstr>
      <vt:lpstr>eylul</vt:lpstr>
      <vt:lpstr>ekım</vt:lpstr>
      <vt:lpstr>kasım</vt:lpstr>
      <vt:lpstr>aralık</vt:lpstr>
      <vt:lpstr>CALIS</vt:lpstr>
      <vt:lpstr>CALISMAGUNLERI</vt:lpstr>
      <vt:lpstr>GECE</vt:lpstr>
      <vt:lpstr>GNDZ</vt:lpstr>
      <vt:lpstr>HEMSIRE</vt:lpstr>
      <vt:lpstr>IZIN</vt:lpstr>
      <vt:lpstr>IZINLI</vt:lpstr>
      <vt:lpstr>VARDIYA</vt:lpstr>
    </vt:vector>
  </TitlesOfParts>
  <Company>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2010-03-04T15:20:08Z</dcterms:created>
  <dcterms:modified xsi:type="dcterms:W3CDTF">2010-04-25T14:46:27Z</dcterms:modified>
</cp:coreProperties>
</file>